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34b598a5cd0be/Documents/"/>
    </mc:Choice>
  </mc:AlternateContent>
  <xr:revisionPtr revIDLastSave="10" documentId="8_{4B35B1A1-8735-4FF6-B5C9-B6A145B1E220}" xr6:coauthVersionLast="47" xr6:coauthVersionMax="47" xr10:uidLastSave="{699F783F-C0BA-4EBB-ADE6-255855ADF5E9}"/>
  <bookViews>
    <workbookView xWindow="-120" yWindow="-120" windowWidth="20730" windowHeight="11760" xr2:uid="{649CE25E-EEE0-46C3-A27C-08CA689A8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J6" i="1" s="1"/>
  <c r="L6" i="1" s="1"/>
  <c r="I7" i="1"/>
  <c r="J7" i="1" s="1"/>
  <c r="I8" i="1"/>
  <c r="J8" i="1" s="1"/>
  <c r="I9" i="1"/>
  <c r="J9" i="1" s="1"/>
  <c r="L9" i="1" s="1"/>
  <c r="I10" i="1"/>
  <c r="J10" i="1" s="1"/>
  <c r="L10" i="1" s="1"/>
  <c r="I11" i="1"/>
  <c r="J11" i="1" s="1"/>
  <c r="I12" i="1"/>
  <c r="J12" i="1" s="1"/>
  <c r="I13" i="1"/>
  <c r="J13" i="1" s="1"/>
  <c r="L13" i="1" s="1"/>
  <c r="I14" i="1"/>
  <c r="J14" i="1" s="1"/>
  <c r="L14" i="1" s="1"/>
  <c r="I15" i="1"/>
  <c r="J15" i="1" s="1"/>
  <c r="I16" i="1"/>
  <c r="J16" i="1" s="1"/>
  <c r="I17" i="1"/>
  <c r="J17" i="1" s="1"/>
  <c r="L17" i="1" s="1"/>
  <c r="E18" i="1"/>
  <c r="F18" i="1"/>
  <c r="G18" i="1"/>
  <c r="H18" i="1"/>
  <c r="L12" i="1" l="1"/>
  <c r="M12" i="1" s="1"/>
  <c r="L15" i="1"/>
  <c r="M15" i="1" s="1"/>
  <c r="L11" i="1"/>
  <c r="M11" i="1"/>
  <c r="L16" i="1"/>
  <c r="M16" i="1" s="1"/>
  <c r="M14" i="1"/>
  <c r="M10" i="1"/>
  <c r="M6" i="1"/>
  <c r="M17" i="1"/>
  <c r="M13" i="1"/>
  <c r="M9" i="1"/>
  <c r="L8" i="1"/>
  <c r="M8" i="1" s="1"/>
  <c r="K8" i="1"/>
  <c r="L7" i="1"/>
  <c r="M7" i="1" s="1"/>
  <c r="K7" i="1"/>
  <c r="K17" i="1"/>
  <c r="K13" i="1"/>
  <c r="K9" i="1"/>
  <c r="K16" i="1"/>
  <c r="K12" i="1"/>
  <c r="K15" i="1"/>
  <c r="K11" i="1"/>
  <c r="K14" i="1"/>
  <c r="K10" i="1"/>
  <c r="K6" i="1"/>
  <c r="I18" i="1"/>
  <c r="J18" i="1"/>
  <c r="L18" i="1" l="1"/>
  <c r="K18" i="1"/>
  <c r="M18" i="1"/>
</calcChain>
</file>

<file path=xl/sharedStrings.xml><?xml version="1.0" encoding="utf-8"?>
<sst xmlns="http://schemas.openxmlformats.org/spreadsheetml/2006/main" count="28" uniqueCount="26">
  <si>
    <t xml:space="preserve">Item </t>
  </si>
  <si>
    <t>Price</t>
  </si>
  <si>
    <t>Q1</t>
  </si>
  <si>
    <t>Q2</t>
  </si>
  <si>
    <t>Q3</t>
  </si>
  <si>
    <t>Q4</t>
  </si>
  <si>
    <t>Total Amount</t>
  </si>
  <si>
    <t>Chai</t>
  </si>
  <si>
    <t>Hot Coffee</t>
  </si>
  <si>
    <t>Cold Coffee</t>
  </si>
  <si>
    <t>Expresso</t>
  </si>
  <si>
    <t>Latte</t>
  </si>
  <si>
    <t>vegy Sandwish</t>
  </si>
  <si>
    <t>Grill Sandwish</t>
  </si>
  <si>
    <t>Thepla</t>
  </si>
  <si>
    <t>Paratha</t>
  </si>
  <si>
    <t>Pasta</t>
  </si>
  <si>
    <t>Meggie</t>
  </si>
  <si>
    <t>Samosa</t>
  </si>
  <si>
    <t>Kalyan FastFood Corner</t>
  </si>
  <si>
    <t>Sum</t>
  </si>
  <si>
    <t>GST</t>
  </si>
  <si>
    <t>TAXES</t>
  </si>
  <si>
    <t>Net Profit</t>
  </si>
  <si>
    <t>.</t>
  </si>
  <si>
    <t>Item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</si>
</sst>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4" tint="-0.499984740745262"/>
      <name val="Lucida Calligraphy"/>
      <family val="4"/>
    </font>
    <font>
      <sz val="12"/>
      <color theme="6" tint="-0.249977111117893"/>
      <name val="Times New Roman"/>
      <family val="1"/>
    </font>
    <font>
      <b/>
      <sz val="14"/>
      <color theme="1"/>
      <name val="Bahnschrift SemiLight"/>
      <family val="2"/>
    </font>
    <font>
      <b/>
      <sz val="14"/>
      <color theme="1"/>
      <name val="Times New Roman"/>
      <family val="1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4"/>
      <color theme="1"/>
      <name val="Times New Roman"/>
      <family val="1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Sitka Subheading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 style="thin">
        <color rgb="FF3F3F3F"/>
      </bottom>
      <diagonal/>
    </border>
  </borders>
  <cellStyleXfs count="3">
    <xf numFmtId="0" fontId="0" fillId="0" borderId="0"/>
    <xf numFmtId="0" fontId="6" fillId="3" borderId="5" applyNumberFormat="0" applyAlignment="0" applyProtection="0"/>
    <xf numFmtId="0" fontId="7" fillId="4" borderId="6" applyNumberFormat="0" applyAlignment="0" applyProtection="0"/>
  </cellStyleXfs>
  <cellXfs count="32">
    <xf numFmtId="0" fontId="0" fillId="0" borderId="0" xfId="0"/>
    <xf numFmtId="44" fontId="0" fillId="0" borderId="0" xfId="0" applyNumberFormat="1"/>
    <xf numFmtId="44" fontId="3" fillId="2" borderId="1" xfId="0" applyNumberFormat="1" applyFont="1" applyFill="1" applyBorder="1"/>
    <xf numFmtId="44" fontId="3" fillId="2" borderId="3" xfId="0" applyNumberFormat="1" applyFont="1" applyFill="1" applyBorder="1"/>
    <xf numFmtId="9" fontId="3" fillId="2" borderId="2" xfId="0" applyNumberFormat="1" applyFont="1" applyFill="1" applyBorder="1"/>
    <xf numFmtId="9" fontId="3" fillId="2" borderId="4" xfId="0" applyNumberFormat="1" applyFont="1" applyFill="1" applyBorder="1"/>
    <xf numFmtId="0" fontId="0" fillId="0" borderId="0" xfId="0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44" fontId="5" fillId="0" borderId="10" xfId="0" applyNumberFormat="1" applyFont="1" applyBorder="1" applyAlignment="1">
      <alignment vertical="center"/>
    </xf>
    <xf numFmtId="44" fontId="5" fillId="0" borderId="4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44" fontId="8" fillId="0" borderId="0" xfId="0" applyNumberFormat="1" applyFont="1"/>
    <xf numFmtId="0" fontId="8" fillId="0" borderId="0" xfId="0" applyFont="1"/>
    <xf numFmtId="0" fontId="9" fillId="3" borderId="12" xfId="1" applyFont="1" applyBorder="1"/>
    <xf numFmtId="44" fontId="10" fillId="4" borderId="13" xfId="2" applyNumberFormat="1" applyFont="1" applyBorder="1"/>
    <xf numFmtId="44" fontId="10" fillId="4" borderId="14" xfId="2" applyNumberFormat="1" applyFont="1" applyBorder="1"/>
    <xf numFmtId="0" fontId="9" fillId="3" borderId="5" xfId="1" applyFont="1"/>
    <xf numFmtId="44" fontId="10" fillId="4" borderId="6" xfId="2" applyNumberFormat="1" applyFont="1"/>
    <xf numFmtId="44" fontId="10" fillId="4" borderId="11" xfId="2" applyNumberFormat="1" applyFont="1" applyBorder="1"/>
    <xf numFmtId="0" fontId="11" fillId="0" borderId="7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Input" xfId="1" builtinId="20"/>
    <cellStyle name="Normal" xfId="0" builtinId="0"/>
    <cellStyle name="Output" xfId="2" builtinId="21"/>
  </cellStyles>
  <dxfs count="24">
    <dxf>
      <font>
        <strike val="0"/>
        <outline val="0"/>
        <shadow val="0"/>
        <u val="none"/>
        <vertAlign val="baseline"/>
        <sz val="14"/>
      </font>
      <numFmt numFmtId="34" formatCode="_ &quot;₹&quot;\ * #,##0.00_ ;_ &quot;₹&quot;\ * \-#,##0.00_ ;_ &quot;₹&quot;\ * &quot;-&quot;??_ ;_ @_ "/>
    </dxf>
    <dxf>
      <font>
        <strike val="0"/>
        <outline val="0"/>
        <shadow val="0"/>
        <u val="none"/>
        <vertAlign val="baseline"/>
        <sz val="14"/>
      </font>
      <numFmt numFmtId="34" formatCode="_ &quot;₹&quot;\ * #,##0.00_ ;_ &quot;₹&quot;\ * \-#,##0.00_ ;_ &quot;₹&quot;\ * &quot;-&quot;??_ ;_ @_ "/>
    </dxf>
    <dxf>
      <font>
        <strike val="0"/>
        <outline val="0"/>
        <shadow val="0"/>
        <u val="none"/>
        <vertAlign val="baseline"/>
        <sz val="14"/>
      </font>
      <numFmt numFmtId="34" formatCode="_ &quot;₹&quot;\ * #,##0.00_ ;_ &quot;₹&quot;\ * \-#,##0.00_ ;_ &quot;₹&quot;\ * &quot;-&quot;??_ ;_ @_ "/>
    </dxf>
    <dxf>
      <font>
        <strike val="0"/>
        <outline val="0"/>
        <shadow val="0"/>
        <u val="none"/>
        <vertAlign val="baseline"/>
        <sz val="14"/>
      </font>
      <numFmt numFmtId="34" formatCode="_ &quot;₹&quot;\ * #,##0.00_ ;_ &quot;₹&quot;\ * \-#,##0.00_ ;_ &quot;₹&quot;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4" formatCode="_ &quot;₹&quot;\ * #,##0.00_ ;_ &quot;₹&quot;\ * \-#,##0.00_ ;_ &quot;₹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itka Subheading"/>
        <scheme val="none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ahnschrift SemiLight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800" b="1" i="0" strike="noStrike" baseline="0"/>
              <a:t>Kalyan FastFood Corner Quaterly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26631592754118"/>
          <c:y val="0.15839851024208565"/>
          <c:w val="0.87063207960577926"/>
          <c:h val="0.6402665728236484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Sheet1!$E$5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Sheet1!$B$6:$B$18</c:f>
              <c:strCache>
                <c:ptCount val="12"/>
                <c:pt idx="0">
                  <c:v>Chai</c:v>
                </c:pt>
                <c:pt idx="1">
                  <c:v>Hot Coffee</c:v>
                </c:pt>
                <c:pt idx="2">
                  <c:v>Cold Coffee</c:v>
                </c:pt>
                <c:pt idx="3">
                  <c:v>Expresso</c:v>
                </c:pt>
                <c:pt idx="4">
                  <c:v>Latte</c:v>
                </c:pt>
                <c:pt idx="5">
                  <c:v>vegy Sandwish</c:v>
                </c:pt>
                <c:pt idx="6">
                  <c:v>Grill Sandwish</c:v>
                </c:pt>
                <c:pt idx="7">
                  <c:v>Thepla</c:v>
                </c:pt>
                <c:pt idx="8">
                  <c:v>Paratha</c:v>
                </c:pt>
                <c:pt idx="9">
                  <c:v>Pasta</c:v>
                </c:pt>
                <c:pt idx="10">
                  <c:v>Meggie</c:v>
                </c:pt>
                <c:pt idx="11">
                  <c:v>Samosa</c:v>
                </c:pt>
              </c:strCache>
            </c:strRef>
          </c:cat>
          <c:val>
            <c:numRef>
              <c:f>Sheet1!$E$6:$E$18</c:f>
              <c:numCache>
                <c:formatCode>General</c:formatCode>
                <c:ptCount val="12"/>
                <c:pt idx="0">
                  <c:v>956</c:v>
                </c:pt>
                <c:pt idx="1">
                  <c:v>786</c:v>
                </c:pt>
                <c:pt idx="2">
                  <c:v>599</c:v>
                </c:pt>
                <c:pt idx="3">
                  <c:v>303</c:v>
                </c:pt>
                <c:pt idx="4">
                  <c:v>578</c:v>
                </c:pt>
                <c:pt idx="5">
                  <c:v>807</c:v>
                </c:pt>
                <c:pt idx="6">
                  <c:v>943</c:v>
                </c:pt>
                <c:pt idx="7">
                  <c:v>205</c:v>
                </c:pt>
                <c:pt idx="8">
                  <c:v>598</c:v>
                </c:pt>
                <c:pt idx="9">
                  <c:v>202</c:v>
                </c:pt>
                <c:pt idx="10">
                  <c:v>1050</c:v>
                </c:pt>
                <c:pt idx="11">
                  <c:v>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F-4CB4-BECC-DA80422A1174}"/>
            </c:ext>
          </c:extLst>
        </c:ser>
        <c:ser>
          <c:idx val="3"/>
          <c:order val="3"/>
          <c:tx>
            <c:strRef>
              <c:f>Sheet1!$F$5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Sheet1!$B$6:$B$18</c:f>
              <c:strCache>
                <c:ptCount val="12"/>
                <c:pt idx="0">
                  <c:v>Chai</c:v>
                </c:pt>
                <c:pt idx="1">
                  <c:v>Hot Coffee</c:v>
                </c:pt>
                <c:pt idx="2">
                  <c:v>Cold Coffee</c:v>
                </c:pt>
                <c:pt idx="3">
                  <c:v>Expresso</c:v>
                </c:pt>
                <c:pt idx="4">
                  <c:v>Latte</c:v>
                </c:pt>
                <c:pt idx="5">
                  <c:v>vegy Sandwish</c:v>
                </c:pt>
                <c:pt idx="6">
                  <c:v>Grill Sandwish</c:v>
                </c:pt>
                <c:pt idx="7">
                  <c:v>Thepla</c:v>
                </c:pt>
                <c:pt idx="8">
                  <c:v>Paratha</c:v>
                </c:pt>
                <c:pt idx="9">
                  <c:v>Pasta</c:v>
                </c:pt>
                <c:pt idx="10">
                  <c:v>Meggie</c:v>
                </c:pt>
                <c:pt idx="11">
                  <c:v>Samosa</c:v>
                </c:pt>
              </c:strCache>
            </c:strRef>
          </c:cat>
          <c:val>
            <c:numRef>
              <c:f>Sheet1!$F$6:$F$18</c:f>
              <c:numCache>
                <c:formatCode>General</c:formatCode>
                <c:ptCount val="12"/>
                <c:pt idx="0">
                  <c:v>676</c:v>
                </c:pt>
                <c:pt idx="1">
                  <c:v>564</c:v>
                </c:pt>
                <c:pt idx="2">
                  <c:v>246</c:v>
                </c:pt>
                <c:pt idx="3">
                  <c:v>865</c:v>
                </c:pt>
                <c:pt idx="4">
                  <c:v>456</c:v>
                </c:pt>
                <c:pt idx="5">
                  <c:v>754</c:v>
                </c:pt>
                <c:pt idx="6">
                  <c:v>323</c:v>
                </c:pt>
                <c:pt idx="7">
                  <c:v>786</c:v>
                </c:pt>
                <c:pt idx="8">
                  <c:v>3453</c:v>
                </c:pt>
                <c:pt idx="9">
                  <c:v>467</c:v>
                </c:pt>
                <c:pt idx="10">
                  <c:v>234</c:v>
                </c:pt>
                <c:pt idx="11">
                  <c:v>2345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2F-4CB4-BECC-DA80422A1174}"/>
            </c:ext>
          </c:extLst>
        </c:ser>
        <c:ser>
          <c:idx val="4"/>
          <c:order val="4"/>
          <c:tx>
            <c:strRef>
              <c:f>Sheet1!$G$5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Sheet1!$B$6:$B$18</c:f>
              <c:strCache>
                <c:ptCount val="12"/>
                <c:pt idx="0">
                  <c:v>Chai</c:v>
                </c:pt>
                <c:pt idx="1">
                  <c:v>Hot Coffee</c:v>
                </c:pt>
                <c:pt idx="2">
                  <c:v>Cold Coffee</c:v>
                </c:pt>
                <c:pt idx="3">
                  <c:v>Expresso</c:v>
                </c:pt>
                <c:pt idx="4">
                  <c:v>Latte</c:v>
                </c:pt>
                <c:pt idx="5">
                  <c:v>vegy Sandwish</c:v>
                </c:pt>
                <c:pt idx="6">
                  <c:v>Grill Sandwish</c:v>
                </c:pt>
                <c:pt idx="7">
                  <c:v>Thepla</c:v>
                </c:pt>
                <c:pt idx="8">
                  <c:v>Paratha</c:v>
                </c:pt>
                <c:pt idx="9">
                  <c:v>Pasta</c:v>
                </c:pt>
                <c:pt idx="10">
                  <c:v>Meggie</c:v>
                </c:pt>
                <c:pt idx="11">
                  <c:v>Samosa</c:v>
                </c:pt>
              </c:strCache>
            </c:strRef>
          </c:cat>
          <c:val>
            <c:numRef>
              <c:f>Sheet1!$G$6:$G$18</c:f>
              <c:numCache>
                <c:formatCode>General</c:formatCode>
                <c:ptCount val="12"/>
                <c:pt idx="0">
                  <c:v>987</c:v>
                </c:pt>
                <c:pt idx="1">
                  <c:v>567</c:v>
                </c:pt>
                <c:pt idx="2">
                  <c:v>432</c:v>
                </c:pt>
                <c:pt idx="3">
                  <c:v>567</c:v>
                </c:pt>
                <c:pt idx="4">
                  <c:v>974</c:v>
                </c:pt>
                <c:pt idx="5">
                  <c:v>246</c:v>
                </c:pt>
                <c:pt idx="6">
                  <c:v>786</c:v>
                </c:pt>
                <c:pt idx="7">
                  <c:v>456</c:v>
                </c:pt>
                <c:pt idx="8">
                  <c:v>899</c:v>
                </c:pt>
                <c:pt idx="9">
                  <c:v>332</c:v>
                </c:pt>
                <c:pt idx="10">
                  <c:v>334</c:v>
                </c:pt>
                <c:pt idx="11">
                  <c:v>1356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2F-4CB4-BECC-DA80422A1174}"/>
            </c:ext>
          </c:extLst>
        </c:ser>
        <c:ser>
          <c:idx val="5"/>
          <c:order val="5"/>
          <c:tx>
            <c:strRef>
              <c:f>Sheet1!$H$5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Sheet1!$B$6:$B$18</c:f>
              <c:strCache>
                <c:ptCount val="12"/>
                <c:pt idx="0">
                  <c:v>Chai</c:v>
                </c:pt>
                <c:pt idx="1">
                  <c:v>Hot Coffee</c:v>
                </c:pt>
                <c:pt idx="2">
                  <c:v>Cold Coffee</c:v>
                </c:pt>
                <c:pt idx="3">
                  <c:v>Expresso</c:v>
                </c:pt>
                <c:pt idx="4">
                  <c:v>Latte</c:v>
                </c:pt>
                <c:pt idx="5">
                  <c:v>vegy Sandwish</c:v>
                </c:pt>
                <c:pt idx="6">
                  <c:v>Grill Sandwish</c:v>
                </c:pt>
                <c:pt idx="7">
                  <c:v>Thepla</c:v>
                </c:pt>
                <c:pt idx="8">
                  <c:v>Paratha</c:v>
                </c:pt>
                <c:pt idx="9">
                  <c:v>Pasta</c:v>
                </c:pt>
                <c:pt idx="10">
                  <c:v>Meggie</c:v>
                </c:pt>
                <c:pt idx="11">
                  <c:v>Samosa</c:v>
                </c:pt>
              </c:strCache>
            </c:strRef>
          </c:cat>
          <c:val>
            <c:numRef>
              <c:f>Sheet1!$H$6:$H$18</c:f>
              <c:numCache>
                <c:formatCode>General</c:formatCode>
                <c:ptCount val="12"/>
                <c:pt idx="0">
                  <c:v>765</c:v>
                </c:pt>
                <c:pt idx="1">
                  <c:v>1150</c:v>
                </c:pt>
                <c:pt idx="2">
                  <c:v>564</c:v>
                </c:pt>
                <c:pt idx="3">
                  <c:v>687</c:v>
                </c:pt>
                <c:pt idx="4">
                  <c:v>345</c:v>
                </c:pt>
                <c:pt idx="5">
                  <c:v>876</c:v>
                </c:pt>
                <c:pt idx="6">
                  <c:v>234</c:v>
                </c:pt>
                <c:pt idx="7">
                  <c:v>678</c:v>
                </c:pt>
                <c:pt idx="8">
                  <c:v>876</c:v>
                </c:pt>
                <c:pt idx="9">
                  <c:v>467</c:v>
                </c:pt>
                <c:pt idx="10">
                  <c:v>443</c:v>
                </c:pt>
                <c:pt idx="11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2F-4CB4-BECC-DA80422A1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704465616"/>
        <c:axId val="7044718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Price</c:v>
                      </c:pt>
                    </c:strCache>
                  </c:strRef>
                </c:tx>
                <c:spPr>
                  <a:solidFill>
                    <a:schemeClr val="accent1"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Sheet1!$B$6:$B$18</c15:sqref>
                        </c15:formulaRef>
                      </c:ext>
                    </c:extLst>
                    <c:strCache>
                      <c:ptCount val="12"/>
                      <c:pt idx="0">
                        <c:v>Chai</c:v>
                      </c:pt>
                      <c:pt idx="1">
                        <c:v>Hot Coffee</c:v>
                      </c:pt>
                      <c:pt idx="2">
                        <c:v>Cold Coffee</c:v>
                      </c:pt>
                      <c:pt idx="3">
                        <c:v>Expresso</c:v>
                      </c:pt>
                      <c:pt idx="4">
                        <c:v>Latte</c:v>
                      </c:pt>
                      <c:pt idx="5">
                        <c:v>vegy Sandwish</c:v>
                      </c:pt>
                      <c:pt idx="6">
                        <c:v>Grill Sandwish</c:v>
                      </c:pt>
                      <c:pt idx="7">
                        <c:v>Thepla</c:v>
                      </c:pt>
                      <c:pt idx="8">
                        <c:v>Paratha</c:v>
                      </c:pt>
                      <c:pt idx="9">
                        <c:v>Pasta</c:v>
                      </c:pt>
                      <c:pt idx="10">
                        <c:v>Meggie</c:v>
                      </c:pt>
                      <c:pt idx="11">
                        <c:v>Samosa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Sheet1!$C$6:$C$18</c15:sqref>
                        </c15:formulaRef>
                      </c:ext>
                    </c:extLst>
                    <c:numCache>
                      <c:formatCode>_("₹"* #,##0.00_);_("₹"* \(#,##0.00\);_("₹"* "-"??_);_(@_)</c:formatCode>
                      <c:ptCount val="12"/>
                      <c:pt idx="0">
                        <c:v>10</c:v>
                      </c:pt>
                      <c:pt idx="1">
                        <c:v>30</c:v>
                      </c:pt>
                      <c:pt idx="2">
                        <c:v>75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60</c:v>
                      </c:pt>
                      <c:pt idx="6">
                        <c:v>90</c:v>
                      </c:pt>
                      <c:pt idx="7">
                        <c:v>20</c:v>
                      </c:pt>
                      <c:pt idx="8">
                        <c:v>20</c:v>
                      </c:pt>
                      <c:pt idx="9">
                        <c:v>40</c:v>
                      </c:pt>
                      <c:pt idx="10">
                        <c:v>30</c:v>
                      </c:pt>
                      <c:pt idx="11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C2F-4CB4-BECC-DA80422A117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.</c:v>
                      </c:pt>
                    </c:strCache>
                  </c:strRef>
                </c:tx>
                <c:spPr>
                  <a:solidFill>
                    <a:schemeClr val="accent2"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Sheet1!$B$6:$B$18</c15:sqref>
                        </c15:formulaRef>
                      </c:ext>
                    </c:extLst>
                    <c:strCache>
                      <c:ptCount val="12"/>
                      <c:pt idx="0">
                        <c:v>Chai</c:v>
                      </c:pt>
                      <c:pt idx="1">
                        <c:v>Hot Coffee</c:v>
                      </c:pt>
                      <c:pt idx="2">
                        <c:v>Cold Coffee</c:v>
                      </c:pt>
                      <c:pt idx="3">
                        <c:v>Expresso</c:v>
                      </c:pt>
                      <c:pt idx="4">
                        <c:v>Latte</c:v>
                      </c:pt>
                      <c:pt idx="5">
                        <c:v>vegy Sandwish</c:v>
                      </c:pt>
                      <c:pt idx="6">
                        <c:v>Grill Sandwish</c:v>
                      </c:pt>
                      <c:pt idx="7">
                        <c:v>Thepla</c:v>
                      </c:pt>
                      <c:pt idx="8">
                        <c:v>Paratha</c:v>
                      </c:pt>
                      <c:pt idx="9">
                        <c:v>Pasta</c:v>
                      </c:pt>
                      <c:pt idx="10">
                        <c:v>Meggie</c:v>
                      </c:pt>
                      <c:pt idx="11">
                        <c:v>Samosa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C2F-4CB4-BECC-DA80422A1174}"/>
                  </c:ext>
                </c:extLst>
              </c15:ser>
            </c15:filteredBarSeries>
          </c:ext>
        </c:extLst>
      </c:barChart>
      <c:catAx>
        <c:axId val="7044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71856"/>
        <c:crosses val="autoZero"/>
        <c:auto val="1"/>
        <c:lblAlgn val="ctr"/>
        <c:lblOffset val="100"/>
        <c:noMultiLvlLbl val="0"/>
      </c:catAx>
      <c:valAx>
        <c:axId val="7044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aseline="0"/>
                  <a:t>Quaterly QUANTITY 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558189226932579"/>
          <c:y val="8.771497112127799E-2"/>
          <c:w val="0.22671976248318021"/>
          <c:h val="4.2321624917850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  <a:r>
              <a:rPr lang="en-US" baseline="0"/>
              <a:t>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7"/>
          <c:order val="7"/>
          <c:tx>
            <c:strRef>
              <c:f>Sheet1!$J$5</c:f>
              <c:strCache>
                <c:ptCount val="1"/>
                <c:pt idx="0">
                  <c:v>Total Amount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66B9-4D64-834A-08B08BA635A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66B9-4D64-834A-08B08BA635A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66B9-4D64-834A-08B08BA635A5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66B9-4D64-834A-08B08BA635A5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66B9-4D64-834A-08B08BA635A5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66B9-4D64-834A-08B08BA635A5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66B9-4D64-834A-08B08BA635A5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66B9-4D64-834A-08B08BA635A5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66B9-4D64-834A-08B08BA635A5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66B9-4D64-834A-08B08BA635A5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66B9-4D64-834A-08B08BA635A5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66B9-4D64-834A-08B08BA635A5}"/>
              </c:ext>
            </c:extLst>
          </c:dPt>
          <c:dLbls>
            <c:dLbl>
              <c:idx val="0"/>
              <c:layout>
                <c:manualLayout>
                  <c:x val="0.10381368482849113"/>
                  <c:y val="2.12720547180346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B9-4D64-834A-08B08BA635A5}"/>
                </c:ext>
              </c:extLst>
            </c:dLbl>
            <c:dLbl>
              <c:idx val="1"/>
              <c:layout>
                <c:manualLayout>
                  <c:x val="-4.7253070141821403E-2"/>
                  <c:y val="9.19900893355666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B9-4D64-834A-08B08BA635A5}"/>
                </c:ext>
              </c:extLst>
            </c:dLbl>
            <c:dLbl>
              <c:idx val="2"/>
              <c:layout>
                <c:manualLayout>
                  <c:x val="-6.9297094472591206E-2"/>
                  <c:y val="0.116896285804652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B9-4D64-834A-08B08BA635A5}"/>
                </c:ext>
              </c:extLst>
            </c:dLbl>
            <c:dLbl>
              <c:idx val="3"/>
              <c:layout>
                <c:manualLayout>
                  <c:x val="-9.4767603356293459E-2"/>
                  <c:y val="-1.04237783052264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6B9-4D64-834A-08B08BA635A5}"/>
                </c:ext>
              </c:extLst>
            </c:dLbl>
            <c:dLbl>
              <c:idx val="4"/>
              <c:layout>
                <c:manualLayout>
                  <c:x val="-4.9103508700914726E-2"/>
                  <c:y val="-0.157767518371966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6B9-4D64-834A-08B08BA635A5}"/>
                </c:ext>
              </c:extLst>
            </c:dLbl>
            <c:dLbl>
              <c:idx val="5"/>
              <c:layout>
                <c:manualLayout>
                  <c:x val="4.3903824518560203E-2"/>
                  <c:y val="-0.161175181462870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6B9-4D64-834A-08B08BA635A5}"/>
                </c:ext>
              </c:extLst>
            </c:dLbl>
            <c:dLbl>
              <c:idx val="6"/>
              <c:layout>
                <c:manualLayout>
                  <c:x val="0.11192537806723692"/>
                  <c:y val="-0.109630653266331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6B9-4D64-834A-08B08BA635A5}"/>
                </c:ext>
              </c:extLst>
            </c:dLbl>
            <c:dLbl>
              <c:idx val="7"/>
              <c:layout>
                <c:manualLayout>
                  <c:x val="-2.5571240616927782E-2"/>
                  <c:y val="1.65674204355108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6B9-4D64-834A-08B08BA635A5}"/>
                </c:ext>
              </c:extLst>
            </c:dLbl>
            <c:dLbl>
              <c:idx val="8"/>
              <c:layout>
                <c:manualLayout>
                  <c:x val="8.0970820670388272E-2"/>
                  <c:y val="4.47756839754327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6B9-4D64-834A-08B08BA635A5}"/>
                </c:ext>
              </c:extLst>
            </c:dLbl>
            <c:dLbl>
              <c:idx val="9"/>
              <c:layout>
                <c:manualLayout>
                  <c:x val="-5.6854021211635387E-2"/>
                  <c:y val="3.200656058068115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6B9-4D64-834A-08B08BA635A5}"/>
                </c:ext>
              </c:extLst>
            </c:dLbl>
            <c:dLbl>
              <c:idx val="10"/>
              <c:layout>
                <c:manualLayout>
                  <c:x val="-1.656513071336747E-2"/>
                  <c:y val="-2.41669458403126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6B9-4D64-834A-08B08BA635A5}"/>
                </c:ext>
              </c:extLst>
            </c:dLbl>
            <c:dLbl>
              <c:idx val="11"/>
              <c:layout>
                <c:manualLayout>
                  <c:x val="4.6219302278945606E-2"/>
                  <c:y val="0.142779173646007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6B9-4D64-834A-08B08BA635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Sheet1!$B$6:$B$18</c:f>
              <c:strCache>
                <c:ptCount val="12"/>
                <c:pt idx="0">
                  <c:v>Chai</c:v>
                </c:pt>
                <c:pt idx="1">
                  <c:v>Hot Coffee</c:v>
                </c:pt>
                <c:pt idx="2">
                  <c:v>Cold Coffee</c:v>
                </c:pt>
                <c:pt idx="3">
                  <c:v>Expresso</c:v>
                </c:pt>
                <c:pt idx="4">
                  <c:v>Latte</c:v>
                </c:pt>
                <c:pt idx="5">
                  <c:v>vegy Sandwish</c:v>
                </c:pt>
                <c:pt idx="6">
                  <c:v>Grill Sandwish</c:v>
                </c:pt>
                <c:pt idx="7">
                  <c:v>Thepla</c:v>
                </c:pt>
                <c:pt idx="8">
                  <c:v>Paratha</c:v>
                </c:pt>
                <c:pt idx="9">
                  <c:v>Pasta</c:v>
                </c:pt>
                <c:pt idx="10">
                  <c:v>Meggie</c:v>
                </c:pt>
                <c:pt idx="11">
                  <c:v>Samosa</c:v>
                </c:pt>
              </c:strCache>
            </c:strRef>
          </c:cat>
          <c:val>
            <c:numRef>
              <c:f>Sheet1!$J$6:$J$18</c:f>
              <c:numCache>
                <c:formatCode>_("₹"* #,##0.00_);_("₹"* \(#,##0.00\);_("₹"* "-"??_);_(@_)</c:formatCode>
                <c:ptCount val="12"/>
                <c:pt idx="0">
                  <c:v>33840</c:v>
                </c:pt>
                <c:pt idx="1">
                  <c:v>92010</c:v>
                </c:pt>
                <c:pt idx="2">
                  <c:v>138075</c:v>
                </c:pt>
                <c:pt idx="3">
                  <c:v>266420</c:v>
                </c:pt>
                <c:pt idx="4">
                  <c:v>188240</c:v>
                </c:pt>
                <c:pt idx="5">
                  <c:v>160980</c:v>
                </c:pt>
                <c:pt idx="6">
                  <c:v>205740</c:v>
                </c:pt>
                <c:pt idx="7">
                  <c:v>42500</c:v>
                </c:pt>
                <c:pt idx="8">
                  <c:v>116520</c:v>
                </c:pt>
                <c:pt idx="9">
                  <c:v>58720</c:v>
                </c:pt>
                <c:pt idx="10">
                  <c:v>61830</c:v>
                </c:pt>
                <c:pt idx="11">
                  <c:v>143980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A6-42CC-9D5D-C15812412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Price</c:v>
                      </c:pt>
                    </c:strCache>
                  </c:strRef>
                </c:tx>
                <c:dPt>
                  <c:idx val="0"/>
                  <c:bubble3D val="0"/>
                  <c:spPr>
                    <a:pattFill prst="ltUpDiag">
                      <a:fgClr>
                        <a:schemeClr val="accent1"/>
                      </a:fgClr>
                      <a:bgClr>
                        <a:schemeClr val="accent1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/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66B9-4D64-834A-08B08BA635A5}"/>
                    </c:ext>
                  </c:extLst>
                </c:dPt>
                <c:dPt>
                  <c:idx val="1"/>
                  <c:bubble3D val="0"/>
                  <c:spPr>
                    <a:pattFill prst="ltUpDiag">
                      <a:fgClr>
                        <a:schemeClr val="accent2"/>
                      </a:fgClr>
                      <a:bgClr>
                        <a:schemeClr val="accent2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/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66B9-4D64-834A-08B08BA635A5}"/>
                    </c:ext>
                  </c:extLst>
                </c:dPt>
                <c:dPt>
                  <c:idx val="2"/>
                  <c:bubble3D val="0"/>
                  <c:spPr>
                    <a:pattFill prst="ltUpDiag">
                      <a:fgClr>
                        <a:schemeClr val="accent3"/>
                      </a:fgClr>
                      <a:bgClr>
                        <a:schemeClr val="accent3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/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66B9-4D64-834A-08B08BA635A5}"/>
                    </c:ext>
                  </c:extLst>
                </c:dPt>
                <c:dPt>
                  <c:idx val="3"/>
                  <c:bubble3D val="0"/>
                  <c:spPr>
                    <a:pattFill prst="ltUpDiag">
                      <a:fgClr>
                        <a:schemeClr val="accent4"/>
                      </a:fgClr>
                      <a:bgClr>
                        <a:schemeClr val="accent4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/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F-66B9-4D64-834A-08B08BA635A5}"/>
                    </c:ext>
                  </c:extLst>
                </c:dPt>
                <c:dPt>
                  <c:idx val="4"/>
                  <c:bubble3D val="0"/>
                  <c:spPr>
                    <a:pattFill prst="ltUpDiag">
                      <a:fgClr>
                        <a:schemeClr val="accent5"/>
                      </a:fgClr>
                      <a:bgClr>
                        <a:schemeClr val="accent5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/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66B9-4D64-834A-08B08BA635A5}"/>
                    </c:ext>
                  </c:extLst>
                </c:dPt>
                <c:dPt>
                  <c:idx val="5"/>
                  <c:bubble3D val="0"/>
                  <c:spPr>
                    <a:pattFill prst="ltUpDiag">
                      <a:fgClr>
                        <a:schemeClr val="accent6"/>
                      </a:fgClr>
                      <a:bgClr>
                        <a:schemeClr val="accent6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/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3-66B9-4D64-834A-08B08BA635A5}"/>
                    </c:ext>
                  </c:extLst>
                </c:dPt>
                <c:dPt>
                  <c:idx val="6"/>
                  <c:bubble3D val="0"/>
                  <c:spPr>
                    <a:pattFill prst="ltUpDiag">
                      <a:fgClr>
                        <a:schemeClr val="accent1">
                          <a:lumMod val="60000"/>
                        </a:schemeClr>
                      </a:fgClr>
                      <a:bgClr>
                        <a:schemeClr val="accent1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>
                          <a:lumMod val="60000"/>
                        </a:schemeClr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5-66B9-4D64-834A-08B08BA635A5}"/>
                    </c:ext>
                  </c:extLst>
                </c:dPt>
                <c:dPt>
                  <c:idx val="7"/>
                  <c:bubble3D val="0"/>
                  <c:spPr>
                    <a:pattFill prst="ltUpDiag">
                      <a:fgClr>
                        <a:schemeClr val="accent2">
                          <a:lumMod val="60000"/>
                        </a:schemeClr>
                      </a:fgClr>
                      <a:bgClr>
                        <a:schemeClr val="accent2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>
                          <a:lumMod val="60000"/>
                        </a:schemeClr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7-66B9-4D64-834A-08B08BA635A5}"/>
                    </c:ext>
                  </c:extLst>
                </c:dPt>
                <c:dPt>
                  <c:idx val="8"/>
                  <c:bubble3D val="0"/>
                  <c:spPr>
                    <a:pattFill prst="ltUpDiag">
                      <a:fgClr>
                        <a:schemeClr val="accent3">
                          <a:lumMod val="60000"/>
                        </a:schemeClr>
                      </a:fgClr>
                      <a:bgClr>
                        <a:schemeClr val="accent3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>
                          <a:lumMod val="60000"/>
                        </a:schemeClr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9-66B9-4D64-834A-08B08BA635A5}"/>
                    </c:ext>
                  </c:extLst>
                </c:dPt>
                <c:dPt>
                  <c:idx val="9"/>
                  <c:bubble3D val="0"/>
                  <c:spPr>
                    <a:pattFill prst="ltUpDiag">
                      <a:fgClr>
                        <a:schemeClr val="accent4">
                          <a:lumMod val="60000"/>
                        </a:schemeClr>
                      </a:fgClr>
                      <a:bgClr>
                        <a:schemeClr val="accent4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>
                          <a:lumMod val="60000"/>
                        </a:schemeClr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B-66B9-4D64-834A-08B08BA635A5}"/>
                    </c:ext>
                  </c:extLst>
                </c:dPt>
                <c:dPt>
                  <c:idx val="10"/>
                  <c:bubble3D val="0"/>
                  <c:spPr>
                    <a:pattFill prst="ltUpDiag">
                      <a:fgClr>
                        <a:schemeClr val="accent5">
                          <a:lumMod val="60000"/>
                        </a:schemeClr>
                      </a:fgClr>
                      <a:bgClr>
                        <a:schemeClr val="accent5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>
                          <a:lumMod val="60000"/>
                        </a:schemeClr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D-66B9-4D64-834A-08B08BA635A5}"/>
                    </c:ext>
                  </c:extLst>
                </c:dPt>
                <c:dPt>
                  <c:idx val="11"/>
                  <c:bubble3D val="0"/>
                  <c:spPr>
                    <a:pattFill prst="ltUpDiag">
                      <a:fgClr>
                        <a:schemeClr val="accent6">
                          <a:lumMod val="60000"/>
                        </a:schemeClr>
                      </a:fgClr>
                      <a:bgClr>
                        <a:schemeClr val="accent6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>
                          <a:lumMod val="60000"/>
                        </a:schemeClr>
                      </a:inn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F-66B9-4D64-834A-08B08BA635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Sheet1!$B$6:$B$18</c15:sqref>
                        </c15:formulaRef>
                      </c:ext>
                    </c:extLst>
                    <c:strCache>
                      <c:ptCount val="12"/>
                      <c:pt idx="0">
                        <c:v>Chai</c:v>
                      </c:pt>
                      <c:pt idx="1">
                        <c:v>Hot Coffee</c:v>
                      </c:pt>
                      <c:pt idx="2">
                        <c:v>Cold Coffee</c:v>
                      </c:pt>
                      <c:pt idx="3">
                        <c:v>Expresso</c:v>
                      </c:pt>
                      <c:pt idx="4">
                        <c:v>Latte</c:v>
                      </c:pt>
                      <c:pt idx="5">
                        <c:v>vegy Sandwish</c:v>
                      </c:pt>
                      <c:pt idx="6">
                        <c:v>Grill Sandwish</c:v>
                      </c:pt>
                      <c:pt idx="7">
                        <c:v>Thepla</c:v>
                      </c:pt>
                      <c:pt idx="8">
                        <c:v>Paratha</c:v>
                      </c:pt>
                      <c:pt idx="9">
                        <c:v>Pasta</c:v>
                      </c:pt>
                      <c:pt idx="10">
                        <c:v>Meggie</c:v>
                      </c:pt>
                      <c:pt idx="11">
                        <c:v>Samosa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Sheet1!$C$6:$C$18</c15:sqref>
                        </c15:formulaRef>
                      </c:ext>
                    </c:extLst>
                    <c:numCache>
                      <c:formatCode>_("₹"* #,##0.00_);_("₹"* \(#,##0.00\);_("₹"* "-"??_);_(@_)</c:formatCode>
                      <c:ptCount val="12"/>
                      <c:pt idx="0">
                        <c:v>10</c:v>
                      </c:pt>
                      <c:pt idx="1">
                        <c:v>30</c:v>
                      </c:pt>
                      <c:pt idx="2">
                        <c:v>75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60</c:v>
                      </c:pt>
                      <c:pt idx="6">
                        <c:v>90</c:v>
                      </c:pt>
                      <c:pt idx="7">
                        <c:v>20</c:v>
                      </c:pt>
                      <c:pt idx="8">
                        <c:v>20</c:v>
                      </c:pt>
                      <c:pt idx="9">
                        <c:v>40</c:v>
                      </c:pt>
                      <c:pt idx="10">
                        <c:v>30</c:v>
                      </c:pt>
                      <c:pt idx="11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4A6-42CC-9D5D-C15812412729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.</c:v>
                      </c:pt>
                    </c:strCache>
                  </c:strRef>
                </c:tx>
                <c:dPt>
                  <c:idx val="0"/>
                  <c:bubble3D val="0"/>
                  <c:spPr>
                    <a:pattFill prst="ltUpDiag">
                      <a:fgClr>
                        <a:schemeClr val="accent1"/>
                      </a:fgClr>
                      <a:bgClr>
                        <a:schemeClr val="accent1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66B9-4D64-834A-08B08BA635A5}"/>
                    </c:ext>
                  </c:extLst>
                </c:dPt>
                <c:dPt>
                  <c:idx val="1"/>
                  <c:bubble3D val="0"/>
                  <c:spPr>
                    <a:pattFill prst="ltUpDiag">
                      <a:fgClr>
                        <a:schemeClr val="accent2"/>
                      </a:fgClr>
                      <a:bgClr>
                        <a:schemeClr val="accent2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66B9-4D64-834A-08B08BA635A5}"/>
                    </c:ext>
                  </c:extLst>
                </c:dPt>
                <c:dPt>
                  <c:idx val="2"/>
                  <c:bubble3D val="0"/>
                  <c:spPr>
                    <a:pattFill prst="ltUpDiag">
                      <a:fgClr>
                        <a:schemeClr val="accent3"/>
                      </a:fgClr>
                      <a:bgClr>
                        <a:schemeClr val="accent3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66B9-4D64-834A-08B08BA635A5}"/>
                    </c:ext>
                  </c:extLst>
                </c:dPt>
                <c:dPt>
                  <c:idx val="3"/>
                  <c:bubble3D val="0"/>
                  <c:spPr>
                    <a:pattFill prst="ltUpDiag">
                      <a:fgClr>
                        <a:schemeClr val="accent4"/>
                      </a:fgClr>
                      <a:bgClr>
                        <a:schemeClr val="accent4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66B9-4D64-834A-08B08BA635A5}"/>
                    </c:ext>
                  </c:extLst>
                </c:dPt>
                <c:dPt>
                  <c:idx val="4"/>
                  <c:bubble3D val="0"/>
                  <c:spPr>
                    <a:pattFill prst="ltUpDiag">
                      <a:fgClr>
                        <a:schemeClr val="accent5"/>
                      </a:fgClr>
                      <a:bgClr>
                        <a:schemeClr val="accent5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66B9-4D64-834A-08B08BA635A5}"/>
                    </c:ext>
                  </c:extLst>
                </c:dPt>
                <c:dPt>
                  <c:idx val="5"/>
                  <c:bubble3D val="0"/>
                  <c:spPr>
                    <a:pattFill prst="ltUpDiag">
                      <a:fgClr>
                        <a:schemeClr val="accent6"/>
                      </a:fgClr>
                      <a:bgClr>
                        <a:schemeClr val="accent6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66B9-4D64-834A-08B08BA635A5}"/>
                    </c:ext>
                  </c:extLst>
                </c:dPt>
                <c:dPt>
                  <c:idx val="6"/>
                  <c:bubble3D val="0"/>
                  <c:spPr>
                    <a:pattFill prst="ltUpDiag">
                      <a:fgClr>
                        <a:schemeClr val="accent1">
                          <a:lumMod val="60000"/>
                        </a:schemeClr>
                      </a:fgClr>
                      <a:bgClr>
                        <a:schemeClr val="accent1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66B9-4D64-834A-08B08BA635A5}"/>
                    </c:ext>
                  </c:extLst>
                </c:dPt>
                <c:dPt>
                  <c:idx val="7"/>
                  <c:bubble3D val="0"/>
                  <c:spPr>
                    <a:pattFill prst="ltUpDiag">
                      <a:fgClr>
                        <a:schemeClr val="accent2">
                          <a:lumMod val="60000"/>
                        </a:schemeClr>
                      </a:fgClr>
                      <a:bgClr>
                        <a:schemeClr val="accent2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66B9-4D64-834A-08B08BA635A5}"/>
                    </c:ext>
                  </c:extLst>
                </c:dPt>
                <c:dPt>
                  <c:idx val="8"/>
                  <c:bubble3D val="0"/>
                  <c:spPr>
                    <a:pattFill prst="ltUpDiag">
                      <a:fgClr>
                        <a:schemeClr val="accent3">
                          <a:lumMod val="60000"/>
                        </a:schemeClr>
                      </a:fgClr>
                      <a:bgClr>
                        <a:schemeClr val="accent3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66B9-4D64-834A-08B08BA635A5}"/>
                    </c:ext>
                  </c:extLst>
                </c:dPt>
                <c:dPt>
                  <c:idx val="9"/>
                  <c:bubble3D val="0"/>
                  <c:spPr>
                    <a:pattFill prst="ltUpDiag">
                      <a:fgClr>
                        <a:schemeClr val="accent4">
                          <a:lumMod val="60000"/>
                        </a:schemeClr>
                      </a:fgClr>
                      <a:bgClr>
                        <a:schemeClr val="accent4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66B9-4D64-834A-08B08BA635A5}"/>
                    </c:ext>
                  </c:extLst>
                </c:dPt>
                <c:dPt>
                  <c:idx val="10"/>
                  <c:bubble3D val="0"/>
                  <c:spPr>
                    <a:pattFill prst="ltUpDiag">
                      <a:fgClr>
                        <a:schemeClr val="accent5">
                          <a:lumMod val="60000"/>
                        </a:schemeClr>
                      </a:fgClr>
                      <a:bgClr>
                        <a:schemeClr val="accent5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66B9-4D64-834A-08B08BA635A5}"/>
                    </c:ext>
                  </c:extLst>
                </c:dPt>
                <c:dPt>
                  <c:idx val="11"/>
                  <c:bubble3D val="0"/>
                  <c:spPr>
                    <a:pattFill prst="ltUpDiag">
                      <a:fgClr>
                        <a:schemeClr val="accent6">
                          <a:lumMod val="60000"/>
                        </a:schemeClr>
                      </a:fgClr>
                      <a:bgClr>
                        <a:schemeClr val="accent6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66B9-4D64-834A-08B08BA635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Sheet1!$B$6:$B$18</c15:sqref>
                        </c15:formulaRef>
                      </c:ext>
                    </c:extLst>
                    <c:strCache>
                      <c:ptCount val="12"/>
                      <c:pt idx="0">
                        <c:v>Chai</c:v>
                      </c:pt>
                      <c:pt idx="1">
                        <c:v>Hot Coffee</c:v>
                      </c:pt>
                      <c:pt idx="2">
                        <c:v>Cold Coffee</c:v>
                      </c:pt>
                      <c:pt idx="3">
                        <c:v>Expresso</c:v>
                      </c:pt>
                      <c:pt idx="4">
                        <c:v>Latte</c:v>
                      </c:pt>
                      <c:pt idx="5">
                        <c:v>vegy Sandwish</c:v>
                      </c:pt>
                      <c:pt idx="6">
                        <c:v>Grill Sandwish</c:v>
                      </c:pt>
                      <c:pt idx="7">
                        <c:v>Thepla</c:v>
                      </c:pt>
                      <c:pt idx="8">
                        <c:v>Paratha</c:v>
                      </c:pt>
                      <c:pt idx="9">
                        <c:v>Pasta</c:v>
                      </c:pt>
                      <c:pt idx="10">
                        <c:v>Meggie</c:v>
                      </c:pt>
                      <c:pt idx="11">
                        <c:v>Samosa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4A6-42CC-9D5D-C15812412729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Sheet1!$E$5</c15:sqref>
                        </c15:formulaRef>
                      </c:ext>
                    </c:extLst>
                    <c:strCache>
                      <c:ptCount val="1"/>
                      <c:pt idx="0">
                        <c:v>Q1</c:v>
                      </c:pt>
                    </c:strCache>
                  </c:strRef>
                </c:tx>
                <c:dPt>
                  <c:idx val="0"/>
                  <c:bubble3D val="0"/>
                  <c:spPr>
                    <a:pattFill prst="ltUpDiag">
                      <a:fgClr>
                        <a:schemeClr val="accent1"/>
                      </a:fgClr>
                      <a:bgClr>
                        <a:schemeClr val="accent1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66B9-4D64-834A-08B08BA635A5}"/>
                    </c:ext>
                  </c:extLst>
                </c:dPt>
                <c:dPt>
                  <c:idx val="1"/>
                  <c:bubble3D val="0"/>
                  <c:spPr>
                    <a:pattFill prst="ltUpDiag">
                      <a:fgClr>
                        <a:schemeClr val="accent2"/>
                      </a:fgClr>
                      <a:bgClr>
                        <a:schemeClr val="accent2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66B9-4D64-834A-08B08BA635A5}"/>
                    </c:ext>
                  </c:extLst>
                </c:dPt>
                <c:dPt>
                  <c:idx val="2"/>
                  <c:bubble3D val="0"/>
                  <c:spPr>
                    <a:pattFill prst="ltUpDiag">
                      <a:fgClr>
                        <a:schemeClr val="accent3"/>
                      </a:fgClr>
                      <a:bgClr>
                        <a:schemeClr val="accent3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66B9-4D64-834A-08B08BA635A5}"/>
                    </c:ext>
                  </c:extLst>
                </c:dPt>
                <c:dPt>
                  <c:idx val="3"/>
                  <c:bubble3D val="0"/>
                  <c:spPr>
                    <a:pattFill prst="ltUpDiag">
                      <a:fgClr>
                        <a:schemeClr val="accent4"/>
                      </a:fgClr>
                      <a:bgClr>
                        <a:schemeClr val="accent4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66B9-4D64-834A-08B08BA635A5}"/>
                    </c:ext>
                  </c:extLst>
                </c:dPt>
                <c:dPt>
                  <c:idx val="4"/>
                  <c:bubble3D val="0"/>
                  <c:spPr>
                    <a:pattFill prst="ltUpDiag">
                      <a:fgClr>
                        <a:schemeClr val="accent5"/>
                      </a:fgClr>
                      <a:bgClr>
                        <a:schemeClr val="accent5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66B9-4D64-834A-08B08BA635A5}"/>
                    </c:ext>
                  </c:extLst>
                </c:dPt>
                <c:dPt>
                  <c:idx val="5"/>
                  <c:bubble3D val="0"/>
                  <c:spPr>
                    <a:pattFill prst="ltUpDiag">
                      <a:fgClr>
                        <a:schemeClr val="accent6"/>
                      </a:fgClr>
                      <a:bgClr>
                        <a:schemeClr val="accent6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66B9-4D64-834A-08B08BA635A5}"/>
                    </c:ext>
                  </c:extLst>
                </c:dPt>
                <c:dPt>
                  <c:idx val="6"/>
                  <c:bubble3D val="0"/>
                  <c:spPr>
                    <a:pattFill prst="ltUpDiag">
                      <a:fgClr>
                        <a:schemeClr val="accent1">
                          <a:lumMod val="60000"/>
                        </a:schemeClr>
                      </a:fgClr>
                      <a:bgClr>
                        <a:schemeClr val="accent1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66B9-4D64-834A-08B08BA635A5}"/>
                    </c:ext>
                  </c:extLst>
                </c:dPt>
                <c:dPt>
                  <c:idx val="7"/>
                  <c:bubble3D val="0"/>
                  <c:spPr>
                    <a:pattFill prst="ltUpDiag">
                      <a:fgClr>
                        <a:schemeClr val="accent2">
                          <a:lumMod val="60000"/>
                        </a:schemeClr>
                      </a:fgClr>
                      <a:bgClr>
                        <a:schemeClr val="accent2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66B9-4D64-834A-08B08BA635A5}"/>
                    </c:ext>
                  </c:extLst>
                </c:dPt>
                <c:dPt>
                  <c:idx val="8"/>
                  <c:bubble3D val="0"/>
                  <c:spPr>
                    <a:pattFill prst="ltUpDiag">
                      <a:fgClr>
                        <a:schemeClr val="accent3">
                          <a:lumMod val="60000"/>
                        </a:schemeClr>
                      </a:fgClr>
                      <a:bgClr>
                        <a:schemeClr val="accent3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66B9-4D64-834A-08B08BA635A5}"/>
                    </c:ext>
                  </c:extLst>
                </c:dPt>
                <c:dPt>
                  <c:idx val="9"/>
                  <c:bubble3D val="0"/>
                  <c:spPr>
                    <a:pattFill prst="ltUpDiag">
                      <a:fgClr>
                        <a:schemeClr val="accent4">
                          <a:lumMod val="60000"/>
                        </a:schemeClr>
                      </a:fgClr>
                      <a:bgClr>
                        <a:schemeClr val="accent4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66B9-4D64-834A-08B08BA635A5}"/>
                    </c:ext>
                  </c:extLst>
                </c:dPt>
                <c:dPt>
                  <c:idx val="10"/>
                  <c:bubble3D val="0"/>
                  <c:spPr>
                    <a:pattFill prst="ltUpDiag">
                      <a:fgClr>
                        <a:schemeClr val="accent5">
                          <a:lumMod val="60000"/>
                        </a:schemeClr>
                      </a:fgClr>
                      <a:bgClr>
                        <a:schemeClr val="accent5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D-66B9-4D64-834A-08B08BA635A5}"/>
                    </c:ext>
                  </c:extLst>
                </c:dPt>
                <c:dPt>
                  <c:idx val="11"/>
                  <c:bubble3D val="0"/>
                  <c:spPr>
                    <a:pattFill prst="ltUpDiag">
                      <a:fgClr>
                        <a:schemeClr val="accent6">
                          <a:lumMod val="60000"/>
                        </a:schemeClr>
                      </a:fgClr>
                      <a:bgClr>
                        <a:schemeClr val="accent6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F-66B9-4D64-834A-08B08BA635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Sheet1!$B$6:$B$18</c15:sqref>
                        </c15:formulaRef>
                      </c:ext>
                    </c:extLst>
                    <c:strCache>
                      <c:ptCount val="12"/>
                      <c:pt idx="0">
                        <c:v>Chai</c:v>
                      </c:pt>
                      <c:pt idx="1">
                        <c:v>Hot Coffee</c:v>
                      </c:pt>
                      <c:pt idx="2">
                        <c:v>Cold Coffee</c:v>
                      </c:pt>
                      <c:pt idx="3">
                        <c:v>Expresso</c:v>
                      </c:pt>
                      <c:pt idx="4">
                        <c:v>Latte</c:v>
                      </c:pt>
                      <c:pt idx="5">
                        <c:v>vegy Sandwish</c:v>
                      </c:pt>
                      <c:pt idx="6">
                        <c:v>Grill Sandwish</c:v>
                      </c:pt>
                      <c:pt idx="7">
                        <c:v>Thepla</c:v>
                      </c:pt>
                      <c:pt idx="8">
                        <c:v>Paratha</c:v>
                      </c:pt>
                      <c:pt idx="9">
                        <c:v>Pasta</c:v>
                      </c:pt>
                      <c:pt idx="10">
                        <c:v>Meggie</c:v>
                      </c:pt>
                      <c:pt idx="11">
                        <c:v>Samosa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Sheet1!$E$6:$E$18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956</c:v>
                      </c:pt>
                      <c:pt idx="1">
                        <c:v>786</c:v>
                      </c:pt>
                      <c:pt idx="2">
                        <c:v>599</c:v>
                      </c:pt>
                      <c:pt idx="3">
                        <c:v>303</c:v>
                      </c:pt>
                      <c:pt idx="4">
                        <c:v>578</c:v>
                      </c:pt>
                      <c:pt idx="5">
                        <c:v>807</c:v>
                      </c:pt>
                      <c:pt idx="6">
                        <c:v>943</c:v>
                      </c:pt>
                      <c:pt idx="7">
                        <c:v>205</c:v>
                      </c:pt>
                      <c:pt idx="8">
                        <c:v>598</c:v>
                      </c:pt>
                      <c:pt idx="9">
                        <c:v>202</c:v>
                      </c:pt>
                      <c:pt idx="10">
                        <c:v>1050</c:v>
                      </c:pt>
                      <c:pt idx="11">
                        <c:v>1598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A6-42CC-9D5D-C15812412729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Q2</c:v>
                      </c:pt>
                    </c:strCache>
                  </c:strRef>
                </c:tx>
                <c:dPt>
                  <c:idx val="0"/>
                  <c:bubble3D val="0"/>
                  <c:spPr>
                    <a:pattFill prst="ltUpDiag">
                      <a:fgClr>
                        <a:schemeClr val="accent1"/>
                      </a:fgClr>
                      <a:bgClr>
                        <a:schemeClr val="accent1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1-66B9-4D64-834A-08B08BA635A5}"/>
                    </c:ext>
                  </c:extLst>
                </c:dPt>
                <c:dPt>
                  <c:idx val="1"/>
                  <c:bubble3D val="0"/>
                  <c:spPr>
                    <a:pattFill prst="ltUpDiag">
                      <a:fgClr>
                        <a:schemeClr val="accent2"/>
                      </a:fgClr>
                      <a:bgClr>
                        <a:schemeClr val="accent2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3-66B9-4D64-834A-08B08BA635A5}"/>
                    </c:ext>
                  </c:extLst>
                </c:dPt>
                <c:dPt>
                  <c:idx val="2"/>
                  <c:bubble3D val="0"/>
                  <c:spPr>
                    <a:pattFill prst="ltUpDiag">
                      <a:fgClr>
                        <a:schemeClr val="accent3"/>
                      </a:fgClr>
                      <a:bgClr>
                        <a:schemeClr val="accent3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66B9-4D64-834A-08B08BA635A5}"/>
                    </c:ext>
                  </c:extLst>
                </c:dPt>
                <c:dPt>
                  <c:idx val="3"/>
                  <c:bubble3D val="0"/>
                  <c:spPr>
                    <a:pattFill prst="ltUpDiag">
                      <a:fgClr>
                        <a:schemeClr val="accent4"/>
                      </a:fgClr>
                      <a:bgClr>
                        <a:schemeClr val="accent4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66B9-4D64-834A-08B08BA635A5}"/>
                    </c:ext>
                  </c:extLst>
                </c:dPt>
                <c:dPt>
                  <c:idx val="4"/>
                  <c:bubble3D val="0"/>
                  <c:spPr>
                    <a:pattFill prst="ltUpDiag">
                      <a:fgClr>
                        <a:schemeClr val="accent5"/>
                      </a:fgClr>
                      <a:bgClr>
                        <a:schemeClr val="accent5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9-66B9-4D64-834A-08B08BA635A5}"/>
                    </c:ext>
                  </c:extLst>
                </c:dPt>
                <c:dPt>
                  <c:idx val="5"/>
                  <c:bubble3D val="0"/>
                  <c:spPr>
                    <a:pattFill prst="ltUpDiag">
                      <a:fgClr>
                        <a:schemeClr val="accent6"/>
                      </a:fgClr>
                      <a:bgClr>
                        <a:schemeClr val="accent6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B-66B9-4D64-834A-08B08BA635A5}"/>
                    </c:ext>
                  </c:extLst>
                </c:dPt>
                <c:dPt>
                  <c:idx val="6"/>
                  <c:bubble3D val="0"/>
                  <c:spPr>
                    <a:pattFill prst="ltUpDiag">
                      <a:fgClr>
                        <a:schemeClr val="accent1">
                          <a:lumMod val="60000"/>
                        </a:schemeClr>
                      </a:fgClr>
                      <a:bgClr>
                        <a:schemeClr val="accent1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66B9-4D64-834A-08B08BA635A5}"/>
                    </c:ext>
                  </c:extLst>
                </c:dPt>
                <c:dPt>
                  <c:idx val="7"/>
                  <c:bubble3D val="0"/>
                  <c:spPr>
                    <a:pattFill prst="ltUpDiag">
                      <a:fgClr>
                        <a:schemeClr val="accent2">
                          <a:lumMod val="60000"/>
                        </a:schemeClr>
                      </a:fgClr>
                      <a:bgClr>
                        <a:schemeClr val="accent2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66B9-4D64-834A-08B08BA635A5}"/>
                    </c:ext>
                  </c:extLst>
                </c:dPt>
                <c:dPt>
                  <c:idx val="8"/>
                  <c:bubble3D val="0"/>
                  <c:spPr>
                    <a:pattFill prst="ltUpDiag">
                      <a:fgClr>
                        <a:schemeClr val="accent3">
                          <a:lumMod val="60000"/>
                        </a:schemeClr>
                      </a:fgClr>
                      <a:bgClr>
                        <a:schemeClr val="accent3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66B9-4D64-834A-08B08BA635A5}"/>
                    </c:ext>
                  </c:extLst>
                </c:dPt>
                <c:dPt>
                  <c:idx val="9"/>
                  <c:bubble3D val="0"/>
                  <c:spPr>
                    <a:pattFill prst="ltUpDiag">
                      <a:fgClr>
                        <a:schemeClr val="accent4">
                          <a:lumMod val="60000"/>
                        </a:schemeClr>
                      </a:fgClr>
                      <a:bgClr>
                        <a:schemeClr val="accent4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3-66B9-4D64-834A-08B08BA635A5}"/>
                    </c:ext>
                  </c:extLst>
                </c:dPt>
                <c:dPt>
                  <c:idx val="10"/>
                  <c:bubble3D val="0"/>
                  <c:spPr>
                    <a:pattFill prst="ltUpDiag">
                      <a:fgClr>
                        <a:schemeClr val="accent5">
                          <a:lumMod val="60000"/>
                        </a:schemeClr>
                      </a:fgClr>
                      <a:bgClr>
                        <a:schemeClr val="accent5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5-66B9-4D64-834A-08B08BA635A5}"/>
                    </c:ext>
                  </c:extLst>
                </c:dPt>
                <c:dPt>
                  <c:idx val="11"/>
                  <c:bubble3D val="0"/>
                  <c:spPr>
                    <a:pattFill prst="ltUpDiag">
                      <a:fgClr>
                        <a:schemeClr val="accent6">
                          <a:lumMod val="60000"/>
                        </a:schemeClr>
                      </a:fgClr>
                      <a:bgClr>
                        <a:schemeClr val="accent6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7-66B9-4D64-834A-08B08BA635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Sheet1!$B$6:$B$18</c15:sqref>
                        </c15:formulaRef>
                      </c:ext>
                    </c:extLst>
                    <c:strCache>
                      <c:ptCount val="12"/>
                      <c:pt idx="0">
                        <c:v>Chai</c:v>
                      </c:pt>
                      <c:pt idx="1">
                        <c:v>Hot Coffee</c:v>
                      </c:pt>
                      <c:pt idx="2">
                        <c:v>Cold Coffee</c:v>
                      </c:pt>
                      <c:pt idx="3">
                        <c:v>Expresso</c:v>
                      </c:pt>
                      <c:pt idx="4">
                        <c:v>Latte</c:v>
                      </c:pt>
                      <c:pt idx="5">
                        <c:v>vegy Sandwish</c:v>
                      </c:pt>
                      <c:pt idx="6">
                        <c:v>Grill Sandwish</c:v>
                      </c:pt>
                      <c:pt idx="7">
                        <c:v>Thepla</c:v>
                      </c:pt>
                      <c:pt idx="8">
                        <c:v>Paratha</c:v>
                      </c:pt>
                      <c:pt idx="9">
                        <c:v>Pasta</c:v>
                      </c:pt>
                      <c:pt idx="10">
                        <c:v>Meggie</c:v>
                      </c:pt>
                      <c:pt idx="11">
                        <c:v>Samosa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Sheet1!$F$6:$F$18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676</c:v>
                      </c:pt>
                      <c:pt idx="1">
                        <c:v>564</c:v>
                      </c:pt>
                      <c:pt idx="2">
                        <c:v>246</c:v>
                      </c:pt>
                      <c:pt idx="3">
                        <c:v>865</c:v>
                      </c:pt>
                      <c:pt idx="4">
                        <c:v>456</c:v>
                      </c:pt>
                      <c:pt idx="5">
                        <c:v>754</c:v>
                      </c:pt>
                      <c:pt idx="6">
                        <c:v>323</c:v>
                      </c:pt>
                      <c:pt idx="7">
                        <c:v>786</c:v>
                      </c:pt>
                      <c:pt idx="8">
                        <c:v>3453</c:v>
                      </c:pt>
                      <c:pt idx="9">
                        <c:v>467</c:v>
                      </c:pt>
                      <c:pt idx="10">
                        <c:v>234</c:v>
                      </c:pt>
                      <c:pt idx="11">
                        <c:v>2345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A6-42CC-9D5D-C15812412729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Q3</c:v>
                      </c:pt>
                    </c:strCache>
                  </c:strRef>
                </c:tx>
                <c:dPt>
                  <c:idx val="0"/>
                  <c:bubble3D val="0"/>
                  <c:spPr>
                    <a:pattFill prst="ltUpDiag">
                      <a:fgClr>
                        <a:schemeClr val="accent1"/>
                      </a:fgClr>
                      <a:bgClr>
                        <a:schemeClr val="accent1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9-66B9-4D64-834A-08B08BA635A5}"/>
                    </c:ext>
                  </c:extLst>
                </c:dPt>
                <c:dPt>
                  <c:idx val="1"/>
                  <c:bubble3D val="0"/>
                  <c:spPr>
                    <a:pattFill prst="ltUpDiag">
                      <a:fgClr>
                        <a:schemeClr val="accent2"/>
                      </a:fgClr>
                      <a:bgClr>
                        <a:schemeClr val="accent2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B-66B9-4D64-834A-08B08BA635A5}"/>
                    </c:ext>
                  </c:extLst>
                </c:dPt>
                <c:dPt>
                  <c:idx val="2"/>
                  <c:bubble3D val="0"/>
                  <c:spPr>
                    <a:pattFill prst="ltUpDiag">
                      <a:fgClr>
                        <a:schemeClr val="accent3"/>
                      </a:fgClr>
                      <a:bgClr>
                        <a:schemeClr val="accent3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D-66B9-4D64-834A-08B08BA635A5}"/>
                    </c:ext>
                  </c:extLst>
                </c:dPt>
                <c:dPt>
                  <c:idx val="3"/>
                  <c:bubble3D val="0"/>
                  <c:spPr>
                    <a:pattFill prst="ltUpDiag">
                      <a:fgClr>
                        <a:schemeClr val="accent4"/>
                      </a:fgClr>
                      <a:bgClr>
                        <a:schemeClr val="accent4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66B9-4D64-834A-08B08BA635A5}"/>
                    </c:ext>
                  </c:extLst>
                </c:dPt>
                <c:dPt>
                  <c:idx val="4"/>
                  <c:bubble3D val="0"/>
                  <c:spPr>
                    <a:pattFill prst="ltUpDiag">
                      <a:fgClr>
                        <a:schemeClr val="accent5"/>
                      </a:fgClr>
                      <a:bgClr>
                        <a:schemeClr val="accent5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66B9-4D64-834A-08B08BA635A5}"/>
                    </c:ext>
                  </c:extLst>
                </c:dPt>
                <c:dPt>
                  <c:idx val="5"/>
                  <c:bubble3D val="0"/>
                  <c:spPr>
                    <a:pattFill prst="ltUpDiag">
                      <a:fgClr>
                        <a:schemeClr val="accent6"/>
                      </a:fgClr>
                      <a:bgClr>
                        <a:schemeClr val="accent6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66B9-4D64-834A-08B08BA635A5}"/>
                    </c:ext>
                  </c:extLst>
                </c:dPt>
                <c:dPt>
                  <c:idx val="6"/>
                  <c:bubble3D val="0"/>
                  <c:spPr>
                    <a:pattFill prst="ltUpDiag">
                      <a:fgClr>
                        <a:schemeClr val="accent1">
                          <a:lumMod val="60000"/>
                        </a:schemeClr>
                      </a:fgClr>
                      <a:bgClr>
                        <a:schemeClr val="accent1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66B9-4D64-834A-08B08BA635A5}"/>
                    </c:ext>
                  </c:extLst>
                </c:dPt>
                <c:dPt>
                  <c:idx val="7"/>
                  <c:bubble3D val="0"/>
                  <c:spPr>
                    <a:pattFill prst="ltUpDiag">
                      <a:fgClr>
                        <a:schemeClr val="accent2">
                          <a:lumMod val="60000"/>
                        </a:schemeClr>
                      </a:fgClr>
                      <a:bgClr>
                        <a:schemeClr val="accent2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66B9-4D64-834A-08B08BA635A5}"/>
                    </c:ext>
                  </c:extLst>
                </c:dPt>
                <c:dPt>
                  <c:idx val="8"/>
                  <c:bubble3D val="0"/>
                  <c:spPr>
                    <a:pattFill prst="ltUpDiag">
                      <a:fgClr>
                        <a:schemeClr val="accent3">
                          <a:lumMod val="60000"/>
                        </a:schemeClr>
                      </a:fgClr>
                      <a:bgClr>
                        <a:schemeClr val="accent3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9-66B9-4D64-834A-08B08BA635A5}"/>
                    </c:ext>
                  </c:extLst>
                </c:dPt>
                <c:dPt>
                  <c:idx val="9"/>
                  <c:bubble3D val="0"/>
                  <c:spPr>
                    <a:pattFill prst="ltUpDiag">
                      <a:fgClr>
                        <a:schemeClr val="accent4">
                          <a:lumMod val="60000"/>
                        </a:schemeClr>
                      </a:fgClr>
                      <a:bgClr>
                        <a:schemeClr val="accent4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B-66B9-4D64-834A-08B08BA635A5}"/>
                    </c:ext>
                  </c:extLst>
                </c:dPt>
                <c:dPt>
                  <c:idx val="10"/>
                  <c:bubble3D val="0"/>
                  <c:spPr>
                    <a:pattFill prst="ltUpDiag">
                      <a:fgClr>
                        <a:schemeClr val="accent5">
                          <a:lumMod val="60000"/>
                        </a:schemeClr>
                      </a:fgClr>
                      <a:bgClr>
                        <a:schemeClr val="accent5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D-66B9-4D64-834A-08B08BA635A5}"/>
                    </c:ext>
                  </c:extLst>
                </c:dPt>
                <c:dPt>
                  <c:idx val="11"/>
                  <c:bubble3D val="0"/>
                  <c:spPr>
                    <a:pattFill prst="ltUpDiag">
                      <a:fgClr>
                        <a:schemeClr val="accent6">
                          <a:lumMod val="60000"/>
                        </a:schemeClr>
                      </a:fgClr>
                      <a:bgClr>
                        <a:schemeClr val="accent6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F-66B9-4D64-834A-08B08BA635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Sheet1!$B$6:$B$18</c15:sqref>
                        </c15:formulaRef>
                      </c:ext>
                    </c:extLst>
                    <c:strCache>
                      <c:ptCount val="12"/>
                      <c:pt idx="0">
                        <c:v>Chai</c:v>
                      </c:pt>
                      <c:pt idx="1">
                        <c:v>Hot Coffee</c:v>
                      </c:pt>
                      <c:pt idx="2">
                        <c:v>Cold Coffee</c:v>
                      </c:pt>
                      <c:pt idx="3">
                        <c:v>Expresso</c:v>
                      </c:pt>
                      <c:pt idx="4">
                        <c:v>Latte</c:v>
                      </c:pt>
                      <c:pt idx="5">
                        <c:v>vegy Sandwish</c:v>
                      </c:pt>
                      <c:pt idx="6">
                        <c:v>Grill Sandwish</c:v>
                      </c:pt>
                      <c:pt idx="7">
                        <c:v>Thepla</c:v>
                      </c:pt>
                      <c:pt idx="8">
                        <c:v>Paratha</c:v>
                      </c:pt>
                      <c:pt idx="9">
                        <c:v>Pasta</c:v>
                      </c:pt>
                      <c:pt idx="10">
                        <c:v>Meggie</c:v>
                      </c:pt>
                      <c:pt idx="11">
                        <c:v>Samosa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Sheet1!$G$6:$G$18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987</c:v>
                      </c:pt>
                      <c:pt idx="1">
                        <c:v>567</c:v>
                      </c:pt>
                      <c:pt idx="2">
                        <c:v>432</c:v>
                      </c:pt>
                      <c:pt idx="3">
                        <c:v>567</c:v>
                      </c:pt>
                      <c:pt idx="4">
                        <c:v>974</c:v>
                      </c:pt>
                      <c:pt idx="5">
                        <c:v>246</c:v>
                      </c:pt>
                      <c:pt idx="6">
                        <c:v>786</c:v>
                      </c:pt>
                      <c:pt idx="7">
                        <c:v>456</c:v>
                      </c:pt>
                      <c:pt idx="8">
                        <c:v>899</c:v>
                      </c:pt>
                      <c:pt idx="9">
                        <c:v>332</c:v>
                      </c:pt>
                      <c:pt idx="10">
                        <c:v>334</c:v>
                      </c:pt>
                      <c:pt idx="11">
                        <c:v>1356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A6-42CC-9D5D-C15812412729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Q4</c:v>
                      </c:pt>
                    </c:strCache>
                  </c:strRef>
                </c:tx>
                <c:dPt>
                  <c:idx val="0"/>
                  <c:bubble3D val="0"/>
                  <c:spPr>
                    <a:pattFill prst="ltUpDiag">
                      <a:fgClr>
                        <a:schemeClr val="accent1"/>
                      </a:fgClr>
                      <a:bgClr>
                        <a:schemeClr val="accent1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1-66B9-4D64-834A-08B08BA635A5}"/>
                    </c:ext>
                  </c:extLst>
                </c:dPt>
                <c:dPt>
                  <c:idx val="1"/>
                  <c:bubble3D val="0"/>
                  <c:spPr>
                    <a:pattFill prst="ltUpDiag">
                      <a:fgClr>
                        <a:schemeClr val="accent2"/>
                      </a:fgClr>
                      <a:bgClr>
                        <a:schemeClr val="accent2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3-66B9-4D64-834A-08B08BA635A5}"/>
                    </c:ext>
                  </c:extLst>
                </c:dPt>
                <c:dPt>
                  <c:idx val="2"/>
                  <c:bubble3D val="0"/>
                  <c:spPr>
                    <a:pattFill prst="ltUpDiag">
                      <a:fgClr>
                        <a:schemeClr val="accent3"/>
                      </a:fgClr>
                      <a:bgClr>
                        <a:schemeClr val="accent3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5-66B9-4D64-834A-08B08BA635A5}"/>
                    </c:ext>
                  </c:extLst>
                </c:dPt>
                <c:dPt>
                  <c:idx val="3"/>
                  <c:bubble3D val="0"/>
                  <c:spPr>
                    <a:pattFill prst="ltUpDiag">
                      <a:fgClr>
                        <a:schemeClr val="accent4"/>
                      </a:fgClr>
                      <a:bgClr>
                        <a:schemeClr val="accent4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7-66B9-4D64-834A-08B08BA635A5}"/>
                    </c:ext>
                  </c:extLst>
                </c:dPt>
                <c:dPt>
                  <c:idx val="4"/>
                  <c:bubble3D val="0"/>
                  <c:spPr>
                    <a:pattFill prst="ltUpDiag">
                      <a:fgClr>
                        <a:schemeClr val="accent5"/>
                      </a:fgClr>
                      <a:bgClr>
                        <a:schemeClr val="accent5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9-66B9-4D64-834A-08B08BA635A5}"/>
                    </c:ext>
                  </c:extLst>
                </c:dPt>
                <c:dPt>
                  <c:idx val="5"/>
                  <c:bubble3D val="0"/>
                  <c:spPr>
                    <a:pattFill prst="ltUpDiag">
                      <a:fgClr>
                        <a:schemeClr val="accent6"/>
                      </a:fgClr>
                      <a:bgClr>
                        <a:schemeClr val="accent6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B-66B9-4D64-834A-08B08BA635A5}"/>
                    </c:ext>
                  </c:extLst>
                </c:dPt>
                <c:dPt>
                  <c:idx val="6"/>
                  <c:bubble3D val="0"/>
                  <c:spPr>
                    <a:pattFill prst="ltUpDiag">
                      <a:fgClr>
                        <a:schemeClr val="accent1">
                          <a:lumMod val="60000"/>
                        </a:schemeClr>
                      </a:fgClr>
                      <a:bgClr>
                        <a:schemeClr val="accent1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D-66B9-4D64-834A-08B08BA635A5}"/>
                    </c:ext>
                  </c:extLst>
                </c:dPt>
                <c:dPt>
                  <c:idx val="7"/>
                  <c:bubble3D val="0"/>
                  <c:spPr>
                    <a:pattFill prst="ltUpDiag">
                      <a:fgClr>
                        <a:schemeClr val="accent2">
                          <a:lumMod val="60000"/>
                        </a:schemeClr>
                      </a:fgClr>
                      <a:bgClr>
                        <a:schemeClr val="accent2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F-66B9-4D64-834A-08B08BA635A5}"/>
                    </c:ext>
                  </c:extLst>
                </c:dPt>
                <c:dPt>
                  <c:idx val="8"/>
                  <c:bubble3D val="0"/>
                  <c:spPr>
                    <a:pattFill prst="ltUpDiag">
                      <a:fgClr>
                        <a:schemeClr val="accent3">
                          <a:lumMod val="60000"/>
                        </a:schemeClr>
                      </a:fgClr>
                      <a:bgClr>
                        <a:schemeClr val="accent3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1-66B9-4D64-834A-08B08BA635A5}"/>
                    </c:ext>
                  </c:extLst>
                </c:dPt>
                <c:dPt>
                  <c:idx val="9"/>
                  <c:bubble3D val="0"/>
                  <c:spPr>
                    <a:pattFill prst="ltUpDiag">
                      <a:fgClr>
                        <a:schemeClr val="accent4">
                          <a:lumMod val="60000"/>
                        </a:schemeClr>
                      </a:fgClr>
                      <a:bgClr>
                        <a:schemeClr val="accent4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3-66B9-4D64-834A-08B08BA635A5}"/>
                    </c:ext>
                  </c:extLst>
                </c:dPt>
                <c:dPt>
                  <c:idx val="10"/>
                  <c:bubble3D val="0"/>
                  <c:spPr>
                    <a:pattFill prst="ltUpDiag">
                      <a:fgClr>
                        <a:schemeClr val="accent5">
                          <a:lumMod val="60000"/>
                        </a:schemeClr>
                      </a:fgClr>
                      <a:bgClr>
                        <a:schemeClr val="accent5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5-66B9-4D64-834A-08B08BA635A5}"/>
                    </c:ext>
                  </c:extLst>
                </c:dPt>
                <c:dPt>
                  <c:idx val="11"/>
                  <c:bubble3D val="0"/>
                  <c:spPr>
                    <a:pattFill prst="ltUpDiag">
                      <a:fgClr>
                        <a:schemeClr val="accent6">
                          <a:lumMod val="60000"/>
                        </a:schemeClr>
                      </a:fgClr>
                      <a:bgClr>
                        <a:schemeClr val="accent6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7-66B9-4D64-834A-08B08BA635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Sheet1!$B$6:$B$18</c15:sqref>
                        </c15:formulaRef>
                      </c:ext>
                    </c:extLst>
                    <c:strCache>
                      <c:ptCount val="12"/>
                      <c:pt idx="0">
                        <c:v>Chai</c:v>
                      </c:pt>
                      <c:pt idx="1">
                        <c:v>Hot Coffee</c:v>
                      </c:pt>
                      <c:pt idx="2">
                        <c:v>Cold Coffee</c:v>
                      </c:pt>
                      <c:pt idx="3">
                        <c:v>Expresso</c:v>
                      </c:pt>
                      <c:pt idx="4">
                        <c:v>Latte</c:v>
                      </c:pt>
                      <c:pt idx="5">
                        <c:v>vegy Sandwish</c:v>
                      </c:pt>
                      <c:pt idx="6">
                        <c:v>Grill Sandwish</c:v>
                      </c:pt>
                      <c:pt idx="7">
                        <c:v>Thepla</c:v>
                      </c:pt>
                      <c:pt idx="8">
                        <c:v>Paratha</c:v>
                      </c:pt>
                      <c:pt idx="9">
                        <c:v>Pasta</c:v>
                      </c:pt>
                      <c:pt idx="10">
                        <c:v>Meggie</c:v>
                      </c:pt>
                      <c:pt idx="11">
                        <c:v>Samosa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Sheet1!$H$6:$H$18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765</c:v>
                      </c:pt>
                      <c:pt idx="1">
                        <c:v>1150</c:v>
                      </c:pt>
                      <c:pt idx="2">
                        <c:v>564</c:v>
                      </c:pt>
                      <c:pt idx="3">
                        <c:v>687</c:v>
                      </c:pt>
                      <c:pt idx="4">
                        <c:v>345</c:v>
                      </c:pt>
                      <c:pt idx="5">
                        <c:v>876</c:v>
                      </c:pt>
                      <c:pt idx="6">
                        <c:v>234</c:v>
                      </c:pt>
                      <c:pt idx="7">
                        <c:v>678</c:v>
                      </c:pt>
                      <c:pt idx="8">
                        <c:v>876</c:v>
                      </c:pt>
                      <c:pt idx="9">
                        <c:v>467</c:v>
                      </c:pt>
                      <c:pt idx="10">
                        <c:v>443</c:v>
                      </c:pt>
                      <c:pt idx="11">
                        <c:v>1900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A6-42CC-9D5D-C15812412729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</c15:sqref>
                        </c15:formulaRef>
                      </c:ext>
                    </c:extLst>
                    <c:strCache>
                      <c:ptCount val="1"/>
                      <c:pt idx="0">
                        <c:v>Item Sold</c:v>
                      </c:pt>
                    </c:strCache>
                  </c:strRef>
                </c:tx>
                <c:dPt>
                  <c:idx val="0"/>
                  <c:bubble3D val="0"/>
                  <c:spPr>
                    <a:pattFill prst="ltUpDiag">
                      <a:fgClr>
                        <a:schemeClr val="accent1"/>
                      </a:fgClr>
                      <a:bgClr>
                        <a:schemeClr val="accent1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9-66B9-4D64-834A-08B08BA635A5}"/>
                    </c:ext>
                  </c:extLst>
                </c:dPt>
                <c:dPt>
                  <c:idx val="1"/>
                  <c:bubble3D val="0"/>
                  <c:spPr>
                    <a:pattFill prst="ltUpDiag">
                      <a:fgClr>
                        <a:schemeClr val="accent2"/>
                      </a:fgClr>
                      <a:bgClr>
                        <a:schemeClr val="accent2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B-66B9-4D64-834A-08B08BA635A5}"/>
                    </c:ext>
                  </c:extLst>
                </c:dPt>
                <c:dPt>
                  <c:idx val="2"/>
                  <c:bubble3D val="0"/>
                  <c:spPr>
                    <a:pattFill prst="ltUpDiag">
                      <a:fgClr>
                        <a:schemeClr val="accent3"/>
                      </a:fgClr>
                      <a:bgClr>
                        <a:schemeClr val="accent3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D-66B9-4D64-834A-08B08BA635A5}"/>
                    </c:ext>
                  </c:extLst>
                </c:dPt>
                <c:dPt>
                  <c:idx val="3"/>
                  <c:bubble3D val="0"/>
                  <c:spPr>
                    <a:pattFill prst="ltUpDiag">
                      <a:fgClr>
                        <a:schemeClr val="accent4"/>
                      </a:fgClr>
                      <a:bgClr>
                        <a:schemeClr val="accent4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F-66B9-4D64-834A-08B08BA635A5}"/>
                    </c:ext>
                  </c:extLst>
                </c:dPt>
                <c:dPt>
                  <c:idx val="4"/>
                  <c:bubble3D val="0"/>
                  <c:spPr>
                    <a:pattFill prst="ltUpDiag">
                      <a:fgClr>
                        <a:schemeClr val="accent5"/>
                      </a:fgClr>
                      <a:bgClr>
                        <a:schemeClr val="accent5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1-66B9-4D64-834A-08B08BA635A5}"/>
                    </c:ext>
                  </c:extLst>
                </c:dPt>
                <c:dPt>
                  <c:idx val="5"/>
                  <c:bubble3D val="0"/>
                  <c:spPr>
                    <a:pattFill prst="ltUpDiag">
                      <a:fgClr>
                        <a:schemeClr val="accent6"/>
                      </a:fgClr>
                      <a:bgClr>
                        <a:schemeClr val="accent6"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/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3-66B9-4D64-834A-08B08BA635A5}"/>
                    </c:ext>
                  </c:extLst>
                </c:dPt>
                <c:dPt>
                  <c:idx val="6"/>
                  <c:bubble3D val="0"/>
                  <c:spPr>
                    <a:pattFill prst="ltUpDiag">
                      <a:fgClr>
                        <a:schemeClr val="accent1">
                          <a:lumMod val="60000"/>
                        </a:schemeClr>
                      </a:fgClr>
                      <a:bgClr>
                        <a:schemeClr val="accent1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1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5-66B9-4D64-834A-08B08BA635A5}"/>
                    </c:ext>
                  </c:extLst>
                </c:dPt>
                <c:dPt>
                  <c:idx val="7"/>
                  <c:bubble3D val="0"/>
                  <c:spPr>
                    <a:pattFill prst="ltUpDiag">
                      <a:fgClr>
                        <a:schemeClr val="accent2">
                          <a:lumMod val="60000"/>
                        </a:schemeClr>
                      </a:fgClr>
                      <a:bgClr>
                        <a:schemeClr val="accent2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2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7-66B9-4D64-834A-08B08BA635A5}"/>
                    </c:ext>
                  </c:extLst>
                </c:dPt>
                <c:dPt>
                  <c:idx val="8"/>
                  <c:bubble3D val="0"/>
                  <c:spPr>
                    <a:pattFill prst="ltUpDiag">
                      <a:fgClr>
                        <a:schemeClr val="accent3">
                          <a:lumMod val="60000"/>
                        </a:schemeClr>
                      </a:fgClr>
                      <a:bgClr>
                        <a:schemeClr val="accent3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3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9-66B9-4D64-834A-08B08BA635A5}"/>
                    </c:ext>
                  </c:extLst>
                </c:dPt>
                <c:dPt>
                  <c:idx val="9"/>
                  <c:bubble3D val="0"/>
                  <c:spPr>
                    <a:pattFill prst="ltUpDiag">
                      <a:fgClr>
                        <a:schemeClr val="accent4">
                          <a:lumMod val="60000"/>
                        </a:schemeClr>
                      </a:fgClr>
                      <a:bgClr>
                        <a:schemeClr val="accent4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4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B-66B9-4D64-834A-08B08BA635A5}"/>
                    </c:ext>
                  </c:extLst>
                </c:dPt>
                <c:dPt>
                  <c:idx val="10"/>
                  <c:bubble3D val="0"/>
                  <c:spPr>
                    <a:pattFill prst="ltUpDiag">
                      <a:fgClr>
                        <a:schemeClr val="accent5">
                          <a:lumMod val="60000"/>
                        </a:schemeClr>
                      </a:fgClr>
                      <a:bgClr>
                        <a:schemeClr val="accent5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5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D-66B9-4D64-834A-08B08BA635A5}"/>
                    </c:ext>
                  </c:extLst>
                </c:dPt>
                <c:dPt>
                  <c:idx val="11"/>
                  <c:bubble3D val="0"/>
                  <c:spPr>
                    <a:pattFill prst="ltUpDiag">
                      <a:fgClr>
                        <a:schemeClr val="accent6">
                          <a:lumMod val="60000"/>
                        </a:schemeClr>
                      </a:fgClr>
                      <a:bgClr>
                        <a:schemeClr val="accent6">
                          <a:lumMod val="60000"/>
                          <a:lumMod val="20000"/>
                          <a:lumOff val="80000"/>
                        </a:schemeClr>
                      </a:bgClr>
                    </a:pattFill>
                    <a:ln w="19050">
                      <a:solidFill>
                        <a:schemeClr val="lt1"/>
                      </a:solidFill>
                    </a:ln>
                    <a:effectLst>
                      <a:innerShdw blurRad="114300">
                        <a:schemeClr val="accent6">
                          <a:lumMod val="60000"/>
                        </a:schemeClr>
                      </a:inn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F-66B9-4D64-834A-08B08BA635A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Sheet1!$B$6:$B$18</c15:sqref>
                        </c15:formulaRef>
                      </c:ext>
                    </c:extLst>
                    <c:strCache>
                      <c:ptCount val="12"/>
                      <c:pt idx="0">
                        <c:v>Chai</c:v>
                      </c:pt>
                      <c:pt idx="1">
                        <c:v>Hot Coffee</c:v>
                      </c:pt>
                      <c:pt idx="2">
                        <c:v>Cold Coffee</c:v>
                      </c:pt>
                      <c:pt idx="3">
                        <c:v>Expresso</c:v>
                      </c:pt>
                      <c:pt idx="4">
                        <c:v>Latte</c:v>
                      </c:pt>
                      <c:pt idx="5">
                        <c:v>vegy Sandwish</c:v>
                      </c:pt>
                      <c:pt idx="6">
                        <c:v>Grill Sandwish</c:v>
                      </c:pt>
                      <c:pt idx="7">
                        <c:v>Thepla</c:v>
                      </c:pt>
                      <c:pt idx="8">
                        <c:v>Paratha</c:v>
                      </c:pt>
                      <c:pt idx="9">
                        <c:v>Pasta</c:v>
                      </c:pt>
                      <c:pt idx="10">
                        <c:v>Meggie</c:v>
                      </c:pt>
                      <c:pt idx="11">
                        <c:v>Samosa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Sheet1!$I$6:$I$18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3384</c:v>
                      </c:pt>
                      <c:pt idx="1">
                        <c:v>3067</c:v>
                      </c:pt>
                      <c:pt idx="2">
                        <c:v>1841</c:v>
                      </c:pt>
                      <c:pt idx="3">
                        <c:v>2422</c:v>
                      </c:pt>
                      <c:pt idx="4">
                        <c:v>2353</c:v>
                      </c:pt>
                      <c:pt idx="5">
                        <c:v>2683</c:v>
                      </c:pt>
                      <c:pt idx="6">
                        <c:v>2286</c:v>
                      </c:pt>
                      <c:pt idx="7">
                        <c:v>2125</c:v>
                      </c:pt>
                      <c:pt idx="8">
                        <c:v>5826</c:v>
                      </c:pt>
                      <c:pt idx="9">
                        <c:v>1468</c:v>
                      </c:pt>
                      <c:pt idx="10">
                        <c:v>2061</c:v>
                      </c:pt>
                      <c:pt idx="11">
                        <c:v>7199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A6-42CC-9D5D-C1581241272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</xdr:colOff>
      <xdr:row>19</xdr:row>
      <xdr:rowOff>79564</xdr:rowOff>
    </xdr:from>
    <xdr:to>
      <xdr:col>12</xdr:col>
      <xdr:colOff>1277470</xdr:colOff>
      <xdr:row>46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0F4014-B0C3-1CF2-4899-5E8F8D80B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605117</xdr:colOff>
      <xdr:row>48</xdr:row>
      <xdr:rowOff>89654</xdr:rowOff>
    </xdr:from>
    <xdr:to>
      <xdr:col>12</xdr:col>
      <xdr:colOff>1288675</xdr:colOff>
      <xdr:row>86</xdr:row>
      <xdr:rowOff>14654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4850D2-4059-BAE4-A8E8-125BD3072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E55FA5-CF1D-47FB-9A66-B2D987CAD2AC}" name="Table2" displayName="Table2" ref="B5:M18" totalsRowCount="1" headerRowDxfId="23" dataDxfId="21" totalsRowDxfId="19" headerRowBorderDxfId="22" tableBorderDxfId="20">
  <autoFilter ref="B5:M17" xr:uid="{27E55FA5-CF1D-47FB-9A66-B2D987CAD2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7E878D-5FAC-4270-BA12-ED0AD89A0A2A}" name="Item " totalsRowLabel="Sum" dataDxfId="18"/>
    <tableColumn id="2" xr3:uid="{F452A69A-162E-415A-9B25-D333E5B97D60}" name="Price" dataDxfId="17" totalsRowDxfId="16"/>
    <tableColumn id="3" xr3:uid="{B7D2FCA5-258A-474A-99AD-7FCEC9F2A390}" name="." dataDxfId="15" totalsRowDxfId="14"/>
    <tableColumn id="4" xr3:uid="{3B6F1967-3436-4313-BF56-9ECC996FA354}" name="Q1" totalsRowFunction="sum" dataDxfId="13" totalsRowDxfId="12" dataCellStyle="Input"/>
    <tableColumn id="5" xr3:uid="{775C94DF-4C4B-495F-8118-96EE6CFAA80C}" name="Q2" totalsRowFunction="sum" dataDxfId="11" totalsRowDxfId="10" dataCellStyle="Input"/>
    <tableColumn id="6" xr3:uid="{DF27A008-1BD0-4F81-AFF2-28CC157F294F}" name="Q3" totalsRowFunction="sum" dataDxfId="9" totalsRowDxfId="8" dataCellStyle="Input"/>
    <tableColumn id="7" xr3:uid="{3AE37BFC-7D34-48AF-A557-EE5FA9F9083D}" name="Q4" totalsRowFunction="sum" dataDxfId="7" totalsRowDxfId="6" dataCellStyle="Input"/>
    <tableColumn id="8" xr3:uid="{BE39A570-E4F5-433E-9510-E755D5BE95B6}" name="Item Sold" totalsRowFunction="sum" dataDxfId="5" totalsRowDxfId="4">
      <calculatedColumnFormula>SUM(E6:H6)</calculatedColumnFormula>
    </tableColumn>
    <tableColumn id="9" xr3:uid="{39324873-16D2-4633-BC5D-BEE4584DB90B}" name="Total Amount" totalsRowFunction="sum" dataDxfId="3" dataCellStyle="Output">
      <calculatedColumnFormula>I6*C6</calculatedColumnFormula>
    </tableColumn>
    <tableColumn id="10" xr3:uid="{D9FC5D8B-A799-4C9B-B8C9-34F574CF9ED3}" name="GST" totalsRowFunction="sum" dataDxfId="2" dataCellStyle="Output">
      <calculatedColumnFormula>Table2[[#This Row],[Total Amount]]*$P$7</calculatedColumnFormula>
    </tableColumn>
    <tableColumn id="11" xr3:uid="{D62B0AE9-01DC-40E1-B9A4-F0D17B63A748}" name="TAXES" totalsRowFunction="sum" dataDxfId="1" dataCellStyle="Output">
      <calculatedColumnFormula>Table2[[#This Row],[Total Amount]]*$P$8</calculatedColumnFormula>
    </tableColumn>
    <tableColumn id="12" xr3:uid="{E5C6D69E-1082-4974-8862-98A1543B7184}" name="Net Profit" totalsRowFunction="sum" dataDxfId="0" dataCellStyle="Output">
      <calculatedColumnFormula>Table2[[#This Row],[Total Amount]]-Table2[[#This Row],[TAXES]]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D779-CA24-4360-BDF5-B91B9F3FAB7A}">
  <sheetPr>
    <pageSetUpPr fitToPage="1"/>
  </sheetPr>
  <dimension ref="B1:P22"/>
  <sheetViews>
    <sheetView tabSelected="1" topLeftCell="A39" zoomScale="85" zoomScaleNormal="85" workbookViewId="0">
      <selection activeCell="A59" sqref="A59"/>
    </sheetView>
  </sheetViews>
  <sheetFormatPr defaultRowHeight="15" x14ac:dyDescent="0.25"/>
  <cols>
    <col min="2" max="2" width="22.140625" bestFit="1" customWidth="1"/>
    <col min="3" max="3" width="12" bestFit="1" customWidth="1"/>
    <col min="4" max="4" width="12.85546875" customWidth="1"/>
    <col min="5" max="8" width="9.5703125" bestFit="1" customWidth="1"/>
    <col min="9" max="9" width="16.140625" customWidth="1"/>
    <col min="10" max="10" width="21.7109375" customWidth="1"/>
    <col min="11" max="11" width="17.28515625" customWidth="1"/>
    <col min="12" max="12" width="17.5703125" customWidth="1"/>
    <col min="13" max="13" width="19.28515625" customWidth="1"/>
    <col min="15" max="15" width="9.85546875" bestFit="1" customWidth="1"/>
    <col min="16" max="16" width="5.5703125" bestFit="1" customWidth="1"/>
  </cols>
  <sheetData>
    <row r="1" spans="2:16" ht="15.75" thickBot="1" x14ac:dyDescent="0.3"/>
    <row r="2" spans="2:16" ht="15" customHeight="1" x14ac:dyDescent="0.25">
      <c r="B2" s="23" t="s">
        <v>19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2:16" ht="15" customHeigh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</row>
    <row r="4" spans="2:16" x14ac:dyDescent="0.25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</row>
    <row r="5" spans="2:16" ht="21.75" customHeight="1" thickBot="1" x14ac:dyDescent="0.3">
      <c r="B5" s="11" t="s">
        <v>0</v>
      </c>
      <c r="C5" s="12" t="s">
        <v>1</v>
      </c>
      <c r="D5" s="12" t="s">
        <v>24</v>
      </c>
      <c r="E5" s="12" t="s">
        <v>2</v>
      </c>
      <c r="F5" s="12" t="s">
        <v>3</v>
      </c>
      <c r="G5" s="12" t="s">
        <v>4</v>
      </c>
      <c r="H5" s="12" t="s">
        <v>5</v>
      </c>
      <c r="I5" s="12" t="s">
        <v>25</v>
      </c>
      <c r="J5" s="12" t="s">
        <v>6</v>
      </c>
      <c r="K5" s="12" t="s">
        <v>21</v>
      </c>
      <c r="L5" s="12" t="s">
        <v>22</v>
      </c>
      <c r="M5" s="13" t="s">
        <v>23</v>
      </c>
    </row>
    <row r="6" spans="2:16" ht="24.75" thickBot="1" x14ac:dyDescent="0.35">
      <c r="B6" s="22" t="s">
        <v>7</v>
      </c>
      <c r="C6" s="14">
        <v>10</v>
      </c>
      <c r="D6" s="15"/>
      <c r="E6" s="16">
        <v>956</v>
      </c>
      <c r="F6" s="16">
        <v>676</v>
      </c>
      <c r="G6" s="16">
        <v>987</v>
      </c>
      <c r="H6" s="16">
        <v>765</v>
      </c>
      <c r="I6" s="15">
        <f>SUM(E6:H6)</f>
        <v>3384</v>
      </c>
      <c r="J6" s="17">
        <f t="shared" ref="J6:J17" si="0">I6*C6</f>
        <v>33840</v>
      </c>
      <c r="K6" s="17">
        <f>Table2[[#This Row],[Total Amount]]*$P$7</f>
        <v>4060.7999999999997</v>
      </c>
      <c r="L6" s="17">
        <f>Table2[[#This Row],[Total Amount]]*$P$8</f>
        <v>6768</v>
      </c>
      <c r="M6" s="18">
        <f>Table2[[#This Row],[Total Amount]]-Table2[[#This Row],[TAXES]]</f>
        <v>27072</v>
      </c>
    </row>
    <row r="7" spans="2:16" ht="24" x14ac:dyDescent="0.3">
      <c r="B7" s="22" t="s">
        <v>8</v>
      </c>
      <c r="C7" s="14">
        <v>30</v>
      </c>
      <c r="D7" s="15"/>
      <c r="E7" s="19">
        <v>786</v>
      </c>
      <c r="F7" s="19">
        <v>564</v>
      </c>
      <c r="G7" s="19">
        <v>567</v>
      </c>
      <c r="H7" s="19">
        <v>1150</v>
      </c>
      <c r="I7" s="15">
        <f t="shared" ref="I7:I17" si="1">SUM(E7:H7)</f>
        <v>3067</v>
      </c>
      <c r="J7" s="20">
        <f t="shared" si="0"/>
        <v>92010</v>
      </c>
      <c r="K7" s="20">
        <f>Table2[[#This Row],[Total Amount]]*$P$7</f>
        <v>11041.199999999999</v>
      </c>
      <c r="L7" s="20">
        <f>Table2[[#This Row],[Total Amount]]*$P$8</f>
        <v>18402</v>
      </c>
      <c r="M7" s="21">
        <f>Table2[[#This Row],[Total Amount]]-Table2[[#This Row],[TAXES]]</f>
        <v>73608</v>
      </c>
      <c r="O7" s="2" t="s">
        <v>21</v>
      </c>
      <c r="P7" s="4">
        <v>0.12</v>
      </c>
    </row>
    <row r="8" spans="2:16" ht="24.75" thickBot="1" x14ac:dyDescent="0.35">
      <c r="B8" s="22" t="s">
        <v>9</v>
      </c>
      <c r="C8" s="14">
        <v>75</v>
      </c>
      <c r="D8" s="15"/>
      <c r="E8" s="19">
        <v>599</v>
      </c>
      <c r="F8" s="19">
        <v>246</v>
      </c>
      <c r="G8" s="19">
        <v>432</v>
      </c>
      <c r="H8" s="19">
        <v>564</v>
      </c>
      <c r="I8" s="15">
        <f t="shared" si="1"/>
        <v>1841</v>
      </c>
      <c r="J8" s="20">
        <f t="shared" si="0"/>
        <v>138075</v>
      </c>
      <c r="K8" s="20">
        <f>Table2[[#This Row],[Total Amount]]*$P$7</f>
        <v>16569</v>
      </c>
      <c r="L8" s="20">
        <f>Table2[[#This Row],[Total Amount]]*$P$8</f>
        <v>27615</v>
      </c>
      <c r="M8" s="21">
        <f>Table2[[#This Row],[Total Amount]]-Table2[[#This Row],[TAXES]]</f>
        <v>110460</v>
      </c>
      <c r="O8" s="3" t="s">
        <v>22</v>
      </c>
      <c r="P8" s="5">
        <v>0.2</v>
      </c>
    </row>
    <row r="9" spans="2:16" ht="24" x14ac:dyDescent="0.3">
      <c r="B9" s="22" t="s">
        <v>10</v>
      </c>
      <c r="C9" s="14">
        <v>110</v>
      </c>
      <c r="D9" s="15"/>
      <c r="E9" s="19">
        <v>303</v>
      </c>
      <c r="F9" s="19">
        <v>865</v>
      </c>
      <c r="G9" s="19">
        <v>567</v>
      </c>
      <c r="H9" s="19">
        <v>687</v>
      </c>
      <c r="I9" s="15">
        <f t="shared" si="1"/>
        <v>2422</v>
      </c>
      <c r="J9" s="20">
        <f t="shared" si="0"/>
        <v>266420</v>
      </c>
      <c r="K9" s="20">
        <f>Table2[[#This Row],[Total Amount]]*$P$7</f>
        <v>31970.399999999998</v>
      </c>
      <c r="L9" s="20">
        <f>Table2[[#This Row],[Total Amount]]*$P$8</f>
        <v>53284</v>
      </c>
      <c r="M9" s="21">
        <f>Table2[[#This Row],[Total Amount]]-Table2[[#This Row],[TAXES]]</f>
        <v>213136</v>
      </c>
    </row>
    <row r="10" spans="2:16" ht="24" x14ac:dyDescent="0.3">
      <c r="B10" s="22" t="s">
        <v>11</v>
      </c>
      <c r="C10" s="14">
        <v>80</v>
      </c>
      <c r="D10" s="15"/>
      <c r="E10" s="19">
        <v>578</v>
      </c>
      <c r="F10" s="19">
        <v>456</v>
      </c>
      <c r="G10" s="19">
        <v>974</v>
      </c>
      <c r="H10" s="19">
        <v>345</v>
      </c>
      <c r="I10" s="15">
        <f t="shared" si="1"/>
        <v>2353</v>
      </c>
      <c r="J10" s="20">
        <f t="shared" si="0"/>
        <v>188240</v>
      </c>
      <c r="K10" s="20">
        <f>Table2[[#This Row],[Total Amount]]*$P$7</f>
        <v>22588.799999999999</v>
      </c>
      <c r="L10" s="20">
        <f>Table2[[#This Row],[Total Amount]]*$P$8</f>
        <v>37648</v>
      </c>
      <c r="M10" s="21">
        <f>Table2[[#This Row],[Total Amount]]-Table2[[#This Row],[TAXES]]</f>
        <v>150592</v>
      </c>
    </row>
    <row r="11" spans="2:16" ht="24" x14ac:dyDescent="0.3">
      <c r="B11" s="22" t="s">
        <v>12</v>
      </c>
      <c r="C11" s="14">
        <v>60</v>
      </c>
      <c r="D11" s="15"/>
      <c r="E11" s="19">
        <v>807</v>
      </c>
      <c r="F11" s="19">
        <v>754</v>
      </c>
      <c r="G11" s="19">
        <v>246</v>
      </c>
      <c r="H11" s="19">
        <v>876</v>
      </c>
      <c r="I11" s="15">
        <f t="shared" si="1"/>
        <v>2683</v>
      </c>
      <c r="J11" s="20">
        <f t="shared" si="0"/>
        <v>160980</v>
      </c>
      <c r="K11" s="20">
        <f>Table2[[#This Row],[Total Amount]]*$P$7</f>
        <v>19317.599999999999</v>
      </c>
      <c r="L11" s="20">
        <f>Table2[[#This Row],[Total Amount]]*$P$8</f>
        <v>32196</v>
      </c>
      <c r="M11" s="21">
        <f>Table2[[#This Row],[Total Amount]]-Table2[[#This Row],[TAXES]]</f>
        <v>128784</v>
      </c>
    </row>
    <row r="12" spans="2:16" ht="24" x14ac:dyDescent="0.3">
      <c r="B12" s="22" t="s">
        <v>13</v>
      </c>
      <c r="C12" s="14">
        <v>90</v>
      </c>
      <c r="D12" s="15"/>
      <c r="E12" s="19">
        <v>943</v>
      </c>
      <c r="F12" s="19">
        <v>323</v>
      </c>
      <c r="G12" s="19">
        <v>786</v>
      </c>
      <c r="H12" s="19">
        <v>234</v>
      </c>
      <c r="I12" s="15">
        <f t="shared" si="1"/>
        <v>2286</v>
      </c>
      <c r="J12" s="20">
        <f t="shared" si="0"/>
        <v>205740</v>
      </c>
      <c r="K12" s="20">
        <f>Table2[[#This Row],[Total Amount]]*$P$7</f>
        <v>24688.799999999999</v>
      </c>
      <c r="L12" s="20">
        <f>Table2[[#This Row],[Total Amount]]*$P$8</f>
        <v>41148</v>
      </c>
      <c r="M12" s="21">
        <f>Table2[[#This Row],[Total Amount]]-Table2[[#This Row],[TAXES]]</f>
        <v>164592</v>
      </c>
    </row>
    <row r="13" spans="2:16" ht="24" x14ac:dyDescent="0.3">
      <c r="B13" s="22" t="s">
        <v>14</v>
      </c>
      <c r="C13" s="14">
        <v>20</v>
      </c>
      <c r="D13" s="15"/>
      <c r="E13" s="19">
        <v>205</v>
      </c>
      <c r="F13" s="19">
        <v>786</v>
      </c>
      <c r="G13" s="19">
        <v>456</v>
      </c>
      <c r="H13" s="19">
        <v>678</v>
      </c>
      <c r="I13" s="15">
        <f t="shared" si="1"/>
        <v>2125</v>
      </c>
      <c r="J13" s="20">
        <f t="shared" si="0"/>
        <v>42500</v>
      </c>
      <c r="K13" s="20">
        <f>Table2[[#This Row],[Total Amount]]*$P$7</f>
        <v>5100</v>
      </c>
      <c r="L13" s="20">
        <f>Table2[[#This Row],[Total Amount]]*$P$8</f>
        <v>8500</v>
      </c>
      <c r="M13" s="21">
        <f>Table2[[#This Row],[Total Amount]]-Table2[[#This Row],[TAXES]]</f>
        <v>34000</v>
      </c>
    </row>
    <row r="14" spans="2:16" ht="24" x14ac:dyDescent="0.3">
      <c r="B14" s="22" t="s">
        <v>15</v>
      </c>
      <c r="C14" s="14">
        <v>20</v>
      </c>
      <c r="D14" s="15"/>
      <c r="E14" s="19">
        <v>598</v>
      </c>
      <c r="F14" s="19">
        <v>3453</v>
      </c>
      <c r="G14" s="19">
        <v>899</v>
      </c>
      <c r="H14" s="19">
        <v>876</v>
      </c>
      <c r="I14" s="15">
        <f t="shared" si="1"/>
        <v>5826</v>
      </c>
      <c r="J14" s="20">
        <f t="shared" si="0"/>
        <v>116520</v>
      </c>
      <c r="K14" s="20">
        <f>Table2[[#This Row],[Total Amount]]*$P$7</f>
        <v>13982.4</v>
      </c>
      <c r="L14" s="20">
        <f>Table2[[#This Row],[Total Amount]]*$P$8</f>
        <v>23304</v>
      </c>
      <c r="M14" s="21">
        <f>Table2[[#This Row],[Total Amount]]-Table2[[#This Row],[TAXES]]</f>
        <v>93216</v>
      </c>
    </row>
    <row r="15" spans="2:16" ht="24" x14ac:dyDescent="0.3">
      <c r="B15" s="22" t="s">
        <v>16</v>
      </c>
      <c r="C15" s="14">
        <v>40</v>
      </c>
      <c r="D15" s="15"/>
      <c r="E15" s="19">
        <v>202</v>
      </c>
      <c r="F15" s="19">
        <v>467</v>
      </c>
      <c r="G15" s="19">
        <v>332</v>
      </c>
      <c r="H15" s="19">
        <v>467</v>
      </c>
      <c r="I15" s="15">
        <f t="shared" si="1"/>
        <v>1468</v>
      </c>
      <c r="J15" s="20">
        <f t="shared" si="0"/>
        <v>58720</v>
      </c>
      <c r="K15" s="20">
        <f>Table2[[#This Row],[Total Amount]]*$P$7</f>
        <v>7046.4</v>
      </c>
      <c r="L15" s="20">
        <f>Table2[[#This Row],[Total Amount]]*$P$8</f>
        <v>11744</v>
      </c>
      <c r="M15" s="21">
        <f>Table2[[#This Row],[Total Amount]]-Table2[[#This Row],[TAXES]]</f>
        <v>46976</v>
      </c>
    </row>
    <row r="16" spans="2:16" ht="24" x14ac:dyDescent="0.3">
      <c r="B16" s="22" t="s">
        <v>17</v>
      </c>
      <c r="C16" s="14">
        <v>30</v>
      </c>
      <c r="D16" s="15"/>
      <c r="E16" s="19">
        <v>1050</v>
      </c>
      <c r="F16" s="19">
        <v>234</v>
      </c>
      <c r="G16" s="19">
        <v>334</v>
      </c>
      <c r="H16" s="19">
        <v>443</v>
      </c>
      <c r="I16" s="15">
        <f t="shared" si="1"/>
        <v>2061</v>
      </c>
      <c r="J16" s="20">
        <f t="shared" si="0"/>
        <v>61830</v>
      </c>
      <c r="K16" s="20">
        <f>Table2[[#This Row],[Total Amount]]*$P$7</f>
        <v>7419.5999999999995</v>
      </c>
      <c r="L16" s="20">
        <f>Table2[[#This Row],[Total Amount]]*$P$8</f>
        <v>12366</v>
      </c>
      <c r="M16" s="21">
        <f>Table2[[#This Row],[Total Amount]]-Table2[[#This Row],[TAXES]]</f>
        <v>49464</v>
      </c>
    </row>
    <row r="17" spans="2:13" ht="24" x14ac:dyDescent="0.3">
      <c r="B17" s="22" t="s">
        <v>18</v>
      </c>
      <c r="C17" s="14">
        <v>20</v>
      </c>
      <c r="D17" s="15"/>
      <c r="E17" s="19">
        <v>1598</v>
      </c>
      <c r="F17" s="19">
        <v>2345</v>
      </c>
      <c r="G17" s="19">
        <v>1356</v>
      </c>
      <c r="H17" s="19">
        <v>1900</v>
      </c>
      <c r="I17" s="15">
        <f t="shared" si="1"/>
        <v>7199</v>
      </c>
      <c r="J17" s="20">
        <f t="shared" si="0"/>
        <v>143980</v>
      </c>
      <c r="K17" s="20">
        <f>Table2[[#This Row],[Total Amount]]*$P$7</f>
        <v>17277.599999999999</v>
      </c>
      <c r="L17" s="20">
        <f>Table2[[#This Row],[Total Amount]]*$P$8</f>
        <v>28796</v>
      </c>
      <c r="M17" s="21">
        <f>Table2[[#This Row],[Total Amount]]-Table2[[#This Row],[TAXES]]</f>
        <v>115184</v>
      </c>
    </row>
    <row r="18" spans="2:13" s="6" customFormat="1" ht="25.5" customHeight="1" thickBot="1" x14ac:dyDescent="0.3">
      <c r="B18" s="7" t="s">
        <v>20</v>
      </c>
      <c r="C18" s="8"/>
      <c r="D18" s="8"/>
      <c r="E18" s="8">
        <f>SUBTOTAL(109,Table2[Q1])</f>
        <v>8625</v>
      </c>
      <c r="F18" s="8">
        <f>SUBTOTAL(109,Table2[Q2])</f>
        <v>11169</v>
      </c>
      <c r="G18" s="8">
        <f>SUBTOTAL(109,Table2[Q3])</f>
        <v>7936</v>
      </c>
      <c r="H18" s="8">
        <f>SUBTOTAL(109,Table2[Q4])</f>
        <v>8985</v>
      </c>
      <c r="I18" s="8">
        <f>SUBTOTAL(109,Table2[Item Sold])</f>
        <v>36715</v>
      </c>
      <c r="J18" s="9">
        <f>SUBTOTAL(109,Table2[Total Amount])</f>
        <v>1508855</v>
      </c>
      <c r="K18" s="9">
        <f>SUBTOTAL(109,Table2[GST])</f>
        <v>181062.59999999998</v>
      </c>
      <c r="L18" s="9">
        <f>SUBTOTAL(109,Table2[TAXES])</f>
        <v>301771</v>
      </c>
      <c r="M18" s="10">
        <f>SUBTOTAL(109,Table2[Net Profit])</f>
        <v>1207084</v>
      </c>
    </row>
    <row r="22" spans="2:13" x14ac:dyDescent="0.25">
      <c r="J22" s="1"/>
    </row>
  </sheetData>
  <mergeCells count="2">
    <mergeCell ref="B2:M3"/>
    <mergeCell ref="B4:M4"/>
  </mergeCells>
  <phoneticPr fontId="1" type="noConversion"/>
  <pageMargins left="0.25" right="0.25" top="0.75" bottom="0.75" header="0.3" footer="0.3"/>
  <pageSetup paperSize="8" scale="67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Italiya</dc:creator>
  <cp:lastModifiedBy>Manav Italiya</cp:lastModifiedBy>
  <cp:lastPrinted>2025-04-16T05:28:46Z</cp:lastPrinted>
  <dcterms:created xsi:type="dcterms:W3CDTF">2025-01-01T06:26:30Z</dcterms:created>
  <dcterms:modified xsi:type="dcterms:W3CDTF">2025-04-16T05:28:48Z</dcterms:modified>
</cp:coreProperties>
</file>